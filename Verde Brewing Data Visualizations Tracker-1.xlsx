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k To Excel" sheetId="1" r:id="rId4"/>
    <sheet state="visible" name="Kids Eat Free Data Columns" sheetId="2" r:id="rId5"/>
    <sheet state="visible" name="Trivia Nights Sales Data" sheetId="3" r:id="rId6"/>
    <sheet state="visible" name="Trivia Nights Sales Graphs" sheetId="4" r:id="rId7"/>
    <sheet state="visible" name="PercentKids Eat Free Data" sheetId="5" r:id="rId8"/>
    <sheet state="visible" name="PercentKids Eat Free Graphs" sheetId="6" r:id="rId9"/>
    <sheet state="visible" name="Grand Canyon Visits Tracker" sheetId="7" r:id="rId10"/>
    <sheet state="visible" name="Montezuma Castle Visits Tracker" sheetId="8" r:id="rId11"/>
    <sheet state="visible" name="Gas Prices" sheetId="9" r:id="rId12"/>
    <sheet state="visible" name="Drink Sales - Pints Only" sheetId="10" r:id="rId13"/>
    <sheet state="visible" name="Sandwich Sales" sheetId="11" r:id="rId14"/>
    <sheet state="visible" name="Hotdog Sales" sheetId="12" r:id="rId15"/>
    <sheet state="visible" name="Nacho Sales" sheetId="13" r:id="rId16"/>
    <sheet state="visible" name="Appetizer Sales" sheetId="14" r:id="rId17"/>
    <sheet state="visible" name="Customer Data" sheetId="15" r:id="rId18"/>
    <sheet state="visible" name="Customer Vis" sheetId="16" r:id="rId19"/>
  </sheets>
  <definedNames>
    <definedName hidden="1" localSheetId="9" name="_xlnm._FilterDatabase">'Drink Sales - Pints Only'!$A$20:$B$34</definedName>
    <definedName hidden="1" localSheetId="14" name="_xlnm._FilterDatabase">'Customer Data'!$A$1:$G$64</definedName>
    <definedName hidden="1" localSheetId="2" name="Z_983DB09E_2861_4EB0_90E5_90993E437DCC_.wvu.FilterData">'Trivia Nights Sales Data'!$M$2:$O$12</definedName>
    <definedName hidden="1" localSheetId="3" name="Z_983DB09E_2861_4EB0_90E5_90993E437DCC_.wvu.FilterData">'Trivia Nights Sales Graphs'!$M$2:$O$12</definedName>
  </definedNames>
  <calcPr/>
  <customWorkbookViews>
    <customWorkbookView activeSheetId="0" maximized="1" windowHeight="0" windowWidth="0" guid="{983DB09E-2861-4EB0-90E5-90993E437DCC}" name="Filter 1"/>
  </customWorkbookViews>
</workbook>
</file>

<file path=xl/sharedStrings.xml><?xml version="1.0" encoding="utf-8"?>
<sst xmlns="http://schemas.openxmlformats.org/spreadsheetml/2006/main" count="393" uniqueCount="182">
  <si>
    <t>TOTAL 2025 Beer/Food Pairings DATA</t>
  </si>
  <si>
    <t>NOVEMBER 2025 Pairings DATA</t>
  </si>
  <si>
    <t>Kids eat Free (Saturday) 5-9 PM</t>
  </si>
  <si>
    <t>Saturdays 5-9 PM 2024</t>
  </si>
  <si>
    <t>Average</t>
  </si>
  <si>
    <t>Thursday (6-9 PM 2024)</t>
  </si>
  <si>
    <t>Month</t>
  </si>
  <si>
    <t>Sales 2025</t>
  </si>
  <si>
    <t>Sales 2024</t>
  </si>
  <si>
    <t>Date</t>
  </si>
  <si>
    <t>Trivia Night (Th 6-9 PM 2025)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</si>
  <si>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</si>
  <si>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</si>
  <si>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</si>
  <si>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</si>
  <si>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</si>
  <si>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</si>
  <si>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</si>
  <si>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</si>
  <si>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</si>
  <si>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</si>
  <si>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 xml:space="preserve">
		</t>
  </si>
  <si>
    <t>Saturday total sales (2024)</t>
  </si>
  <si>
    <t xml:space="preserve">Thursday total sales (2025) </t>
  </si>
  <si>
    <t>Thursday 5-9 pm (2024-2025)</t>
  </si>
  <si>
    <t xml:space="preserve"> 5-9 PM sales</t>
  </si>
  <si>
    <t>Gross Sales</t>
  </si>
  <si>
    <t>Gross Sales (2024-2025)</t>
  </si>
  <si>
    <t>Saturday total sales (2025)</t>
  </si>
  <si>
    <t>Kids eat free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</si>
  <si>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</si>
  <si>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</si>
  <si>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</si>
  <si>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</si>
  <si>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</si>
  <si>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</si>
  <si>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</si>
  <si>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</si>
  <si>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</si>
  <si>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x</t>
  </si>
  <si>
    <t>Column 1</t>
  </si>
  <si>
    <t>Column 2</t>
  </si>
  <si>
    <t>Grand Canyon NP</t>
  </si>
  <si>
    <t>Verde</t>
  </si>
  <si>
    <t>Total Visitors</t>
  </si>
  <si>
    <t>Total Net Sales</t>
  </si>
  <si>
    <t>Grand Canyon Monthly Visit Statistics</t>
  </si>
  <si>
    <t>Montezuma Castle Monthly Visit Statistics</t>
  </si>
  <si>
    <t>Avg Gas Price</t>
  </si>
  <si>
    <t>Net Total Sales</t>
  </si>
  <si>
    <t>Average Price: Gasoline, Unleaded Regular (Cost per Gallon/3.785 Liters) in Phoenix-Mesa-Scottsdale, AZ (CBSA) (APUS48A74714) | FRED</t>
  </si>
  <si>
    <t>October (exc Halloween) - Pints Only</t>
  </si>
  <si>
    <t>September - Pints Only</t>
  </si>
  <si>
    <t>August - Pints Only</t>
  </si>
  <si>
    <t>Items Sold</t>
  </si>
  <si>
    <t>% of Beer GS</t>
  </si>
  <si>
    <t>Bullpen Bourbon Stout</t>
  </si>
  <si>
    <t>Amber Ale</t>
  </si>
  <si>
    <t>Dark Lager</t>
  </si>
  <si>
    <t>Gold Buckle</t>
  </si>
  <si>
    <t>IPL Mosaic</t>
  </si>
  <si>
    <t>Light Lager</t>
  </si>
  <si>
    <t>Hefeweizen</t>
  </si>
  <si>
    <t>Marzen</t>
  </si>
  <si>
    <t>Nectaron Hazy IPA</t>
  </si>
  <si>
    <t>Redneck Rodeo</t>
  </si>
  <si>
    <t>Pale Ale</t>
  </si>
  <si>
    <t>Scotch Ale</t>
  </si>
  <si>
    <t>Smokey Rye Lager</t>
  </si>
  <si>
    <t>Stone Sour</t>
  </si>
  <si>
    <t>Watermelon</t>
  </si>
  <si>
    <t>Wildflower IPA</t>
  </si>
  <si>
    <t>West Coast IPA</t>
  </si>
  <si>
    <t>Beer Type</t>
  </si>
  <si>
    <t>October</t>
  </si>
  <si>
    <t>September</t>
  </si>
  <si>
    <t>August</t>
  </si>
  <si>
    <t>October (exc Halloween)</t>
  </si>
  <si>
    <t>% of Sandwich GS</t>
  </si>
  <si>
    <t>Chicken Sandwich</t>
  </si>
  <si>
    <t>Meatball Sub</t>
  </si>
  <si>
    <t>PBJ</t>
  </si>
  <si>
    <t>Pulled Pork Sandwich</t>
  </si>
  <si>
    <t>Roast Beef Sandwich</t>
  </si>
  <si>
    <t>% of Hotdog GS</t>
  </si>
  <si>
    <t>Chili Dog</t>
  </si>
  <si>
    <t>Elote Dog</t>
  </si>
  <si>
    <t>Naked Dog</t>
  </si>
  <si>
    <t>Stadium Dog</t>
  </si>
  <si>
    <t>% of Nacho GS</t>
  </si>
  <si>
    <t>BBQ</t>
  </si>
  <si>
    <t>Cheeseburger</t>
  </si>
  <si>
    <t>Elote</t>
  </si>
  <si>
    <t>Spicy</t>
  </si>
  <si>
    <t>Traditional</t>
  </si>
  <si>
    <t>Units Sold</t>
  </si>
  <si>
    <t>Pretzle</t>
  </si>
  <si>
    <t>Elote Bowl</t>
  </si>
  <si>
    <t>Chili Bowl</t>
  </si>
  <si>
    <t>Brownie</t>
  </si>
  <si>
    <t>Guac</t>
  </si>
  <si>
    <t>Ice Cream</t>
  </si>
  <si>
    <t>Customer Name</t>
  </si>
  <si>
    <t>Customer #</t>
  </si>
  <si>
    <t>Last Visit (days ago)</t>
  </si>
  <si>
    <t>Visits</t>
  </si>
  <si>
    <t>Avg Purchase</t>
  </si>
  <si>
    <t>Total Spent</t>
  </si>
  <si>
    <t>Recency</t>
  </si>
  <si>
    <t>Customer Data with Purchase Count&gt;15, containing Gold Buckle or Chili Dog</t>
  </si>
  <si>
    <t>Adam Reel</t>
  </si>
  <si>
    <t>Andrew Ghiglieri</t>
  </si>
  <si>
    <t>bins (# of days)</t>
  </si>
  <si>
    <t>Andrew Myers</t>
  </si>
  <si>
    <t>0-30</t>
  </si>
  <si>
    <t>Active</t>
  </si>
  <si>
    <t>Ann Izard</t>
  </si>
  <si>
    <t>31-364</t>
  </si>
  <si>
    <t>Cooling</t>
  </si>
  <si>
    <t>Beth Mogle</t>
  </si>
  <si>
    <t>365+</t>
  </si>
  <si>
    <t>Dormant</t>
  </si>
  <si>
    <t>Brenda Dickey</t>
  </si>
  <si>
    <t>Camaron Mortillaro</t>
  </si>
  <si>
    <t>Happy Hour</t>
  </si>
  <si>
    <t>2-5 Pm</t>
  </si>
  <si>
    <t>Charles Bryan</t>
  </si>
  <si>
    <t>M-F</t>
  </si>
  <si>
    <t>Chip Cain</t>
  </si>
  <si>
    <t>Christophe Bonnette</t>
  </si>
  <si>
    <t>Christopher Bonnette</t>
  </si>
  <si>
    <t>Clint Adams</t>
  </si>
  <si>
    <t>Dana Beard</t>
  </si>
  <si>
    <t>Debbie Krejci</t>
  </si>
  <si>
    <t>Deborah Moss</t>
  </si>
  <si>
    <t>Dick-yost Yaghlegian</t>
  </si>
  <si>
    <t>Diego Noguez</t>
  </si>
  <si>
    <t>Donald Walton</t>
  </si>
  <si>
    <t>Dorothy Daniel</t>
  </si>
  <si>
    <t>Gary Chenier</t>
  </si>
  <si>
    <t>Gerald Robison</t>
  </si>
  <si>
    <t>James Schmidt</t>
  </si>
  <si>
    <t>Jenna Williams</t>
  </si>
  <si>
    <t>Jerry Peasley</t>
  </si>
  <si>
    <t>John Lyon</t>
  </si>
  <si>
    <t>John Mayersky</t>
  </si>
  <si>
    <t>John Pilgrim</t>
  </si>
  <si>
    <t>John Snickers</t>
  </si>
  <si>
    <t>John Vanderhyden</t>
  </si>
  <si>
    <t>Joseph Dickey</t>
  </si>
  <si>
    <t>Kara Hamman</t>
  </si>
  <si>
    <t>Karen Gentry</t>
  </si>
  <si>
    <t>Katherine Tofsrud</t>
  </si>
  <si>
    <t>Kelly Mathias</t>
  </si>
  <si>
    <t>Kendrick Daw</t>
  </si>
  <si>
    <t>Kristina Lewis</t>
  </si>
  <si>
    <t>Kyle Vandermale</t>
  </si>
  <si>
    <t>Lawrence Leisberg</t>
  </si>
  <si>
    <t>Mark Ziemann</t>
  </si>
  <si>
    <t>Mary Osborne</t>
  </si>
  <si>
    <t>Max Harms</t>
  </si>
  <si>
    <t>Melanie Hicks</t>
  </si>
  <si>
    <t>Micah Buchanan</t>
  </si>
  <si>
    <t>Michael Harwood</t>
  </si>
  <si>
    <t>Reed Mcmanus</t>
  </si>
  <si>
    <t>Richard Bush</t>
  </si>
  <si>
    <t>Richard Edwards</t>
  </si>
  <si>
    <t>Richard Winter</t>
  </si>
  <si>
    <t>Rj Dixon</t>
  </si>
  <si>
    <t>Robert Winders</t>
  </si>
  <si>
    <t>Robert Zambotti</t>
  </si>
  <si>
    <t>Rodney Reese</t>
  </si>
  <si>
    <t>Ronald Bruce</t>
  </si>
  <si>
    <t>Ruben Lozano</t>
  </si>
  <si>
    <t>Sabrina Hamman</t>
  </si>
  <si>
    <t>Santos Vasquez</t>
  </si>
  <si>
    <t>Steve Georges</t>
  </si>
  <si>
    <t>Steven Wilkens</t>
  </si>
  <si>
    <t>Taylor Dabbs</t>
  </si>
  <si>
    <t>Taylor Long</t>
  </si>
  <si>
    <t>Thomas Hightower</t>
  </si>
  <si>
    <t>Travis Honanie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</si>
</sst>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&quot;/&quot;d"/>
    <numFmt numFmtId="165" formatCode="&quot;$&quot;#,##0.00"/>
    <numFmt numFmtId="166" formatCode="mm/dd"/>
    <numFmt numFmtId="167" formatCode="m/d/yy"/>
    <numFmt numFmtId="168" formatCode="mmmm yyyy"/>
    <numFmt numFmtId="169" formatCode="&quot;$&quot;#,##0"/>
  </numFmts>
  <fonts count="20">
    <font>
      <sz val="10.0"/>
      <color rgb="FF000000"/>
      <name val="Arial"/>
      <scheme val="minor"/>
    </font>
    <font>
      <b/>
      <u/>
      <sz val="21.0"/>
      <color rgb="FF0000FF"/>
    </font>
    <font>
      <b/>
      <color theme="1"/>
      <name val="Arial"/>
      <scheme val="minor"/>
    </font>
    <font/>
    <font>
      <color theme="1"/>
      <name val="Arial"/>
      <scheme val="minor"/>
    </font>
    <font>
      <b/>
      <sz val="11.0"/>
      <color theme="1"/>
      <name val="Arial"/>
      <scheme val="minor"/>
    </font>
    <font>
      <b/>
      <sz val="12.0"/>
      <color rgb="FFFFFFFF"/>
      <name val="&quot;Aptos Narrow&quot;"/>
    </font>
    <font>
      <sz val="12.0"/>
      <color rgb="FF000000"/>
      <name val="&quot;Aptos Narrow&quot;"/>
    </font>
    <font>
      <u/>
      <color rgb="FF0000FF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i/>
      <sz val="10.0"/>
      <color theme="1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b/>
      <sz val="10.0"/>
      <color rgb="FF000000"/>
      <name val="&quot;Aptos Narrow&quot;"/>
    </font>
    <font>
      <sz val="10.0"/>
      <color rgb="FF000000"/>
      <name val="&quot;Aptos Narrow&quot;"/>
    </font>
    <font>
      <sz val="10.0"/>
      <color rgb="FF000000"/>
      <name val="Arial"/>
    </font>
    <font>
      <b/>
      <sz val="10.0"/>
      <color rgb="FF000000"/>
      <name val="Arial"/>
    </font>
    <font>
      <b/>
      <sz val="11.0"/>
      <color rgb="FF000000"/>
      <name val="&quot;Aptos Narrow&quot;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  <fill>
      <patternFill patternType="solid">
        <fgColor rgb="FFFFFF00"/>
        <bgColor rgb="FFFFFF00"/>
      </patternFill>
    </fill>
  </fills>
  <borders count="1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ED973"/>
      </left>
      <top style="thin">
        <color rgb="FF8ED973"/>
      </top>
      <bottom style="thin">
        <color rgb="FF8ED973"/>
      </bottom>
    </border>
    <border>
      <top style="thin">
        <color rgb="FF8ED973"/>
      </top>
      <bottom style="thin">
        <color rgb="FF8ED973"/>
      </bottom>
    </border>
    <border>
      <left style="thin">
        <color rgb="FF8ED973"/>
      </left>
      <top style="thin">
        <color rgb="FF8ED973"/>
      </top>
    </border>
    <border>
      <top style="thin">
        <color rgb="FF8ED973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Border="1" applyFont="1"/>
    <xf borderId="0" fillId="0" fontId="4" numFmtId="164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165" xfId="0" applyFont="1" applyNumberFormat="1"/>
    <xf borderId="2" fillId="0" fontId="5" numFmtId="0" xfId="0" applyAlignment="1" applyBorder="1" applyFont="1">
      <alignment readingOrder="0"/>
    </xf>
    <xf borderId="2" fillId="0" fontId="4" numFmtId="0" xfId="0" applyBorder="1" applyFont="1"/>
    <xf borderId="0" fillId="0" fontId="4" numFmtId="164" xfId="0" applyAlignment="1" applyFont="1" applyNumberFormat="1">
      <alignment horizontal="left" readingOrder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165" xfId="0" applyAlignment="1" applyFont="1" applyNumberFormat="1">
      <alignment readingOrder="0" shrinkToFit="0" vertical="center" wrapText="0"/>
    </xf>
    <xf borderId="0" fillId="0" fontId="4" numFmtId="165" xfId="0" applyAlignment="1" applyFont="1" applyNumberFormat="1">
      <alignment readingOrder="0" shrinkToFit="0" vertical="center" wrapText="0"/>
    </xf>
    <xf borderId="0" fillId="0" fontId="4" numFmtId="166" xfId="0" applyAlignment="1" applyFont="1" applyNumberFormat="1">
      <alignment readingOrder="0" shrinkToFit="0" vertical="center" wrapText="0"/>
    </xf>
    <xf borderId="0" fillId="0" fontId="4" numFmtId="165" xfId="0" applyAlignment="1" applyFont="1" applyNumberFormat="1">
      <alignment readingOrder="0" shrinkToFit="0" vertical="center" wrapText="0"/>
    </xf>
    <xf borderId="0" fillId="0" fontId="4" numFmtId="165" xfId="0" applyAlignment="1" applyFont="1" applyNumberFormat="1">
      <alignment readingOrder="0"/>
    </xf>
    <xf borderId="0" fillId="0" fontId="4" numFmtId="167" xfId="0" applyAlignment="1" applyFont="1" applyNumberFormat="1">
      <alignment readingOrder="0"/>
    </xf>
    <xf borderId="0" fillId="2" fontId="6" numFmtId="0" xfId="0" applyAlignment="1" applyFill="1" applyFont="1">
      <alignment readingOrder="0" shrinkToFit="0" vertical="bottom" wrapText="0"/>
    </xf>
    <xf borderId="0" fillId="2" fontId="6" numFmtId="165" xfId="0" applyAlignment="1" applyFont="1" applyNumberFormat="1">
      <alignment readingOrder="0" shrinkToFit="0" vertical="bottom" wrapText="0"/>
    </xf>
    <xf borderId="3" fillId="2" fontId="6" numFmtId="0" xfId="0" applyAlignment="1" applyBorder="1" applyFont="1">
      <alignment readingOrder="0" shrinkToFit="0" vertical="bottom" wrapText="0"/>
    </xf>
    <xf borderId="4" fillId="2" fontId="6" numFmtId="165" xfId="0" applyAlignment="1" applyBorder="1" applyFont="1" applyNumberFormat="1">
      <alignment readingOrder="0" shrinkToFit="0" vertical="bottom" wrapText="0"/>
    </xf>
    <xf borderId="0" fillId="0" fontId="4" numFmtId="0" xfId="0" applyAlignment="1" applyFont="1">
      <alignment readingOrder="0"/>
    </xf>
    <xf borderId="3" fillId="3" fontId="7" numFmtId="167" xfId="0" applyAlignment="1" applyBorder="1" applyFill="1" applyFont="1" applyNumberFormat="1">
      <alignment horizontal="right" readingOrder="0" shrinkToFit="0" vertical="bottom" wrapText="0"/>
    </xf>
    <xf borderId="4" fillId="3" fontId="7" numFmtId="165" xfId="0" applyAlignment="1" applyBorder="1" applyFont="1" applyNumberFormat="1">
      <alignment horizontal="right" readingOrder="0" shrinkToFit="0" vertical="bottom" wrapText="0"/>
    </xf>
    <xf borderId="0" fillId="0" fontId="4" numFmtId="10" xfId="0" applyFont="1" applyNumberFormat="1"/>
    <xf borderId="3" fillId="0" fontId="7" numFmtId="167" xfId="0" applyAlignment="1" applyBorder="1" applyFont="1" applyNumberFormat="1">
      <alignment horizontal="right" readingOrder="0" shrinkToFit="0" vertical="bottom" wrapText="0"/>
    </xf>
    <xf borderId="4" fillId="0" fontId="7" numFmtId="165" xfId="0" applyAlignment="1" applyBorder="1" applyFont="1" applyNumberFormat="1">
      <alignment horizontal="right" readingOrder="0" shrinkToFit="0" vertical="bottom" wrapText="0"/>
    </xf>
    <xf borderId="0" fillId="0" fontId="4" numFmtId="0" xfId="0" applyFont="1"/>
    <xf borderId="5" fillId="3" fontId="7" numFmtId="167" xfId="0" applyAlignment="1" applyBorder="1" applyFont="1" applyNumberFormat="1">
      <alignment horizontal="right" readingOrder="0" shrinkToFit="0" vertical="bottom" wrapText="0"/>
    </xf>
    <xf borderId="6" fillId="3" fontId="7" numFmtId="165" xfId="0" applyAlignment="1" applyBorder="1" applyFont="1" applyNumberFormat="1">
      <alignment horizontal="right" readingOrder="0" shrinkToFit="0" vertical="bottom" wrapText="0"/>
    </xf>
    <xf borderId="0" fillId="0" fontId="7" numFmtId="167" xfId="0" applyAlignment="1" applyFont="1" applyNumberFormat="1">
      <alignment horizontal="right" readingOrder="0" shrinkToFit="0" vertical="bottom" wrapText="0"/>
    </xf>
    <xf borderId="0" fillId="0" fontId="7" numFmtId="165" xfId="0" applyAlignment="1" applyFont="1" applyNumberFormat="1">
      <alignment horizontal="right" readingOrder="0" shrinkToFit="0" vertical="bottom" wrapText="0"/>
    </xf>
    <xf borderId="0" fillId="0" fontId="4" numFmtId="168" xfId="0" applyAlignment="1" applyFont="1" applyNumberFormat="1">
      <alignment readingOrder="0"/>
    </xf>
    <xf borderId="0" fillId="0" fontId="4" numFmtId="3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4" numFmtId="165" xfId="0" applyFont="1" applyNumberFormat="1"/>
    <xf borderId="7" fillId="0" fontId="9" numFmtId="0" xfId="0" applyAlignment="1" applyBorder="1" applyFont="1">
      <alignment horizontal="center" readingOrder="0"/>
    </xf>
    <xf borderId="8" fillId="0" fontId="3" numFmtId="0" xfId="0" applyBorder="1" applyFont="1"/>
    <xf borderId="9" fillId="0" fontId="3" numFmtId="0" xfId="0" applyBorder="1" applyFont="1"/>
    <xf borderId="0" fillId="0" fontId="10" numFmtId="0" xfId="0" applyFont="1"/>
    <xf borderId="0" fillId="0" fontId="9" numFmtId="0" xfId="0" applyAlignment="1" applyFont="1">
      <alignment horizontal="center" readingOrder="0"/>
    </xf>
    <xf borderId="10" fillId="0" fontId="11" numFmtId="0" xfId="0" applyAlignment="1" applyBorder="1" applyFont="1">
      <alignment horizontal="center" readingOrder="0"/>
    </xf>
    <xf borderId="0" fillId="0" fontId="9" numFmtId="0" xfId="0" applyAlignment="1" applyFont="1">
      <alignment readingOrder="0"/>
    </xf>
    <xf borderId="11" fillId="0" fontId="9" numFmtId="0" xfId="0" applyAlignment="1" applyBorder="1" applyFont="1">
      <alignment readingOrder="0"/>
    </xf>
    <xf borderId="0" fillId="0" fontId="10" numFmtId="0" xfId="0" applyAlignment="1" applyFont="1">
      <alignment readingOrder="0"/>
    </xf>
    <xf borderId="10" fillId="0" fontId="10" numFmtId="0" xfId="0" applyAlignment="1" applyBorder="1" applyFont="1">
      <alignment horizontal="center" readingOrder="0"/>
    </xf>
    <xf borderId="0" fillId="0" fontId="10" numFmtId="0" xfId="0" applyAlignment="1" applyFont="1">
      <alignment horizontal="center" readingOrder="0"/>
    </xf>
    <xf borderId="10" fillId="0" fontId="12" numFmtId="0" xfId="0" applyAlignment="1" applyBorder="1" applyFont="1">
      <alignment readingOrder="0" shrinkToFit="0" vertical="bottom" wrapText="0"/>
    </xf>
    <xf borderId="0" fillId="0" fontId="12" numFmtId="0" xfId="0" applyAlignment="1" applyFont="1">
      <alignment horizontal="right" readingOrder="0" shrinkToFit="0" vertical="bottom" wrapText="0"/>
    </xf>
    <xf borderId="0" fillId="0" fontId="12" numFmtId="165" xfId="0" applyAlignment="1" applyFont="1" applyNumberFormat="1">
      <alignment horizontal="right" readingOrder="0" shrinkToFit="0" vertical="bottom" wrapText="0"/>
    </xf>
    <xf borderId="11" fillId="0" fontId="4" numFmtId="10" xfId="0" applyBorder="1" applyFont="1" applyNumberFormat="1"/>
    <xf borderId="0" fillId="0" fontId="12" numFmtId="0" xfId="0" applyAlignment="1" applyFont="1">
      <alignment readingOrder="0" shrinkToFit="0" vertical="bottom" wrapText="0"/>
    </xf>
    <xf borderId="1" fillId="0" fontId="12" numFmtId="165" xfId="0" applyAlignment="1" applyBorder="1" applyFont="1" applyNumberFormat="1">
      <alignment horizontal="right" readingOrder="0" shrinkToFit="0" vertical="bottom" wrapText="0"/>
    </xf>
    <xf borderId="12" fillId="0" fontId="4" numFmtId="0" xfId="0" applyBorder="1" applyFont="1"/>
    <xf borderId="1" fillId="0" fontId="4" numFmtId="0" xfId="0" applyBorder="1" applyFont="1"/>
    <xf borderId="1" fillId="0" fontId="4" numFmtId="165" xfId="0" applyBorder="1" applyFont="1" applyNumberFormat="1"/>
    <xf borderId="13" fillId="0" fontId="4" numFmtId="0" xfId="0" applyBorder="1" applyFont="1"/>
    <xf borderId="0" fillId="0" fontId="12" numFmtId="169" xfId="0" applyAlignment="1" applyFont="1" applyNumberFormat="1">
      <alignment readingOrder="0" shrinkToFit="0" vertical="bottom" wrapText="0"/>
    </xf>
    <xf borderId="1" fillId="0" fontId="12" numFmtId="169" xfId="0" applyAlignment="1" applyBorder="1" applyFont="1" applyNumberFormat="1">
      <alignment readingOrder="0" shrinkToFit="0" vertical="bottom" wrapText="0"/>
    </xf>
    <xf borderId="0" fillId="0" fontId="4" numFmtId="0" xfId="0" applyFont="1"/>
    <xf borderId="0" fillId="0" fontId="13" numFmtId="0" xfId="0" applyAlignment="1" applyFont="1">
      <alignment readingOrder="0" shrinkToFit="0" vertical="bottom" wrapText="0"/>
    </xf>
    <xf borderId="0" fillId="0" fontId="11" numFmtId="0" xfId="0" applyAlignment="1" applyFont="1">
      <alignment horizontal="center" readingOrder="0"/>
    </xf>
    <xf borderId="0" fillId="0" fontId="14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165" xfId="0" applyAlignment="1" applyFont="1" applyNumberFormat="1">
      <alignment horizontal="right" readingOrder="0" shrinkToFit="0" vertical="bottom" wrapText="0"/>
    </xf>
    <xf borderId="0" fillId="0" fontId="10" numFmtId="10" xfId="0" applyFont="1" applyNumberFormat="1"/>
    <xf borderId="0" fillId="0" fontId="16" numFmtId="0" xfId="0" applyAlignment="1" applyFont="1">
      <alignment horizontal="right" readingOrder="0" shrinkToFit="0" vertical="bottom" wrapText="0"/>
    </xf>
    <xf borderId="0" fillId="0" fontId="16" numFmtId="165" xfId="0" applyAlignment="1" applyFont="1" applyNumberFormat="1">
      <alignment horizontal="right" readingOrder="0" shrinkToFit="0" vertical="bottom" wrapText="0"/>
    </xf>
    <xf borderId="1" fillId="0" fontId="16" numFmtId="165" xfId="0" applyAlignment="1" applyBorder="1" applyFont="1" applyNumberFormat="1">
      <alignment horizontal="right" readingOrder="0" shrinkToFit="0" vertical="bottom" wrapText="0"/>
    </xf>
    <xf borderId="1" fillId="0" fontId="15" numFmtId="165" xfId="0" applyAlignment="1" applyBorder="1" applyFont="1" applyNumberFormat="1">
      <alignment horizontal="right"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  <xf borderId="0" fillId="0" fontId="9" numFmtId="165" xfId="0" applyFont="1" applyNumberFormat="1"/>
    <xf borderId="0" fillId="0" fontId="17" numFmtId="165" xfId="0" applyAlignment="1" applyFont="1" applyNumberFormat="1">
      <alignment horizontal="right" readingOrder="0" shrinkToFit="0" vertical="bottom" wrapText="0"/>
    </xf>
    <xf borderId="0" fillId="0" fontId="2" numFmtId="0" xfId="0" applyFont="1"/>
    <xf borderId="0" fillId="0" fontId="13" numFmtId="0" xfId="0" applyAlignment="1" applyFont="1">
      <alignment horizontal="right" readingOrder="0" shrinkToFit="0" vertical="bottom" wrapText="0"/>
    </xf>
    <xf borderId="0" fillId="0" fontId="13" numFmtId="165" xfId="0" applyAlignment="1" applyFont="1" applyNumberFormat="1">
      <alignment horizontal="right" readingOrder="0" shrinkToFit="0" vertical="bottom" wrapText="0"/>
    </xf>
    <xf borderId="0" fillId="0" fontId="10" numFmtId="0" xfId="0" applyAlignment="1" applyFont="1">
      <alignment horizontal="center"/>
    </xf>
    <xf borderId="0" fillId="0" fontId="9" numFmtId="165" xfId="0" applyAlignment="1" applyFont="1" applyNumberFormat="1">
      <alignment readingOrder="0"/>
    </xf>
    <xf borderId="0" fillId="0" fontId="10" numFmtId="165" xfId="0" applyAlignment="1" applyFont="1" applyNumberFormat="1">
      <alignment readingOrder="0"/>
    </xf>
    <xf borderId="1" fillId="0" fontId="10" numFmtId="165" xfId="0" applyAlignment="1" applyBorder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0" fontId="18" numFmtId="0" xfId="0" applyAlignment="1" applyFont="1">
      <alignment readingOrder="0" shrinkToFit="0" vertical="bottom" wrapText="0"/>
    </xf>
    <xf borderId="0" fillId="0" fontId="2" numFmtId="165" xfId="0" applyFont="1" applyNumberFormat="1"/>
    <xf borderId="1" fillId="0" fontId="2" numFmtId="0" xfId="0" applyAlignment="1" applyBorder="1" applyFont="1">
      <alignment readingOrder="0"/>
    </xf>
    <xf borderId="1" fillId="0" fontId="2" numFmtId="169" xfId="0" applyAlignment="1" applyBorder="1" applyFont="1" applyNumberFormat="1">
      <alignment readingOrder="0"/>
    </xf>
    <xf borderId="0" fillId="0" fontId="4" numFmtId="169" xfId="0" applyAlignment="1" applyFont="1" applyNumberFormat="1">
      <alignment readingOrder="0"/>
    </xf>
    <xf borderId="0" fillId="0" fontId="4" numFmtId="0" xfId="0" applyFont="1"/>
    <xf borderId="0" fillId="4" fontId="4" numFmtId="0" xfId="0" applyAlignment="1" applyFill="1" applyFont="1">
      <alignment readingOrder="0"/>
    </xf>
    <xf borderId="0" fillId="0" fontId="19" numFmtId="0" xfId="0" applyAlignment="1" applyFont="1">
      <alignment readingOrder="0" vertical="bottom"/>
    </xf>
    <xf borderId="0" fillId="0" fontId="19" numFmtId="169" xfId="0" applyAlignment="1" applyFont="1" applyNumberFormat="1">
      <alignment readingOrder="0" vertical="bottom"/>
    </xf>
    <xf borderId="1" fillId="0" fontId="4" numFmtId="169" xfId="0" applyAlignment="1" applyBorder="1" applyFont="1" applyNumberFormat="1">
      <alignment readingOrder="0"/>
    </xf>
    <xf borderId="0" fillId="0" fontId="4" numFmtId="169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4" pivot="0" name="Trivia Nights Sales 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via Nights Sales Data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Trivia Nights Sales Data-style 3">
      <tableStyleElement dxfId="2" type="firstRowStripe"/>
      <tableStyleElement dxfId="3" type="secondRowStripe"/>
    </tableStyle>
    <tableStyle count="4" pivot="0" name="Trivia Nights Sales Data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via Nights Sales Graph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Trivia Nights Sales Graphs-style 2">
      <tableStyleElement dxfId="2" type="firstRowStripe"/>
      <tableStyleElement dxfId="3" type="secondRowStripe"/>
    </tableStyle>
    <tableStyle count="4" pivot="0" name="PercentKids Eat Free Graph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Kids eat Free 2025 (Saturday) 5-9 PM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'Kids Eat Free Data Columns'!$A$2:$A$41</c:f>
            </c:strRef>
          </c:cat>
          <c:val>
            <c:numRef>
              <c:f>'Kids Eat Free Data Columns'!$B$2:$B$41</c:f>
              <c:numCache/>
            </c:numRef>
          </c:val>
          <c:smooth val="0"/>
        </c:ser>
        <c:axId val="1089273649"/>
        <c:axId val="1739891505"/>
      </c:lineChart>
      <c:catAx>
        <c:axId val="10892736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Kids eat Free (Saturday) 5-9 PM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9891505"/>
      </c:catAx>
      <c:valAx>
        <c:axId val="17398915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92736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Saturdays 5-9 PM 2024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'Kids Eat Free Data Columns'!$E$1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'Kids Eat Free Data Columns'!$D$2:$D$41</c:f>
            </c:strRef>
          </c:cat>
          <c:val>
            <c:numRef>
              <c:f>'Kids Eat Free Data Columns'!$E$2:$E$41</c:f>
              <c:numCache/>
            </c:numRef>
          </c:val>
          <c:smooth val="0"/>
        </c:ser>
        <c:axId val="454752294"/>
        <c:axId val="305451091"/>
      </c:lineChart>
      <c:catAx>
        <c:axId val="4547522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Saturdays 5-9 PM 2024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5451091"/>
      </c:catAx>
      <c:valAx>
        <c:axId val="305451091"/>
        <c:scaling>
          <c:orientation val="minMax"/>
          <c:max val="2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47522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during Trivia Night (Thursdays 6-9 PM) 2025</a:t>
            </a:r>
          </a:p>
        </c:rich>
      </c:tx>
      <c:overlay val="0"/>
    </c:title>
    <c:plotArea>
      <c:layout/>
      <c:lineChart>
        <c:varyColors val="0"/>
        <c:axId val="1660867011"/>
        <c:axId val="1759141780"/>
      </c:lineChart>
      <c:catAx>
        <c:axId val="16608670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9141780"/>
      </c:catAx>
      <c:valAx>
        <c:axId val="175914178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660867011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'Trivia Nights Sales Graphs'!$N$2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'Trivia Nights Sales Graphs'!$M$3:$M$12</c:f>
            </c:strRef>
          </c:cat>
          <c:val>
            <c:numRef>
              <c:f>'Trivia Nights Sales Graphs'!$N$3:$N$12</c:f>
              <c:numCache/>
            </c:numRef>
          </c:val>
        </c:ser>
        <c:ser>
          <c:idx val="1"/>
          <c:order val="1"/>
          <c:tx>
            <c:strRef>
              <c:f>'Trivia Nights Sales Graphs'!$O$2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'Trivia Nights Sales Graphs'!$M$3:$M$12</c:f>
            </c:strRef>
          </c:cat>
          <c:val>
            <c:numRef>
              <c:f>'Trivia Nights Sales Graphs'!$O$3:$O$12</c:f>
              <c:numCache/>
            </c:numRef>
          </c:val>
        </c:ser>
        <c:axId val="786771128"/>
        <c:axId val="1799393601"/>
      </c:barChart>
      <c:catAx>
        <c:axId val="786771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9393601"/>
      </c:catAx>
      <c:valAx>
        <c:axId val="17993936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67711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during Trivia Night (Thursdays 6-9 PM) 2025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1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cat>
            <c:strRef>
              <c:f>'Trivia Nights Sales Data'!$B$4:$B$43</c:f>
            </c:strRef>
          </c:cat>
          <c:val>
            <c:numRef>
              <c:f>'Trivia Nights Sales Data'!$C$4:$C$43</c:f>
              <c:numCache/>
            </c:numRef>
          </c:val>
          <c:smooth val="0"/>
        </c:ser>
        <c:axId val="1381175809"/>
        <c:axId val="740494871"/>
      </c:lineChart>
      <c:catAx>
        <c:axId val="13811758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0494871"/>
      </c:catAx>
      <c:valAx>
        <c:axId val="7404948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Trivia Night (Thursdays 6-9 PM)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1175809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Trivia Night (Th 6-9 PM 2025) vs. Total Day Sales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7"/>
          </c:dPt>
          <c:cat>
            <c:strRef>
              <c:f>'Trivia Nights Sales Data'!$Q$48:$Q$57</c:f>
            </c:strRef>
          </c:cat>
          <c:val>
            <c:numRef>
              <c:f>'Trivia Nights Sales Data'!$R$48:$R$57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7"/>
          </c:dPt>
          <c:cat>
            <c:strRef>
              <c:f>'Trivia Nights Sales Data'!$Q$48:$Q$57</c:f>
            </c:strRef>
          </c:cat>
          <c:val>
            <c:numRef>
              <c:f>'Trivia Nights Sales Data'!$R$61:$R$70</c:f>
              <c:numCache/>
            </c:numRef>
          </c:val>
        </c:ser>
        <c:overlap val="100"/>
        <c:axId val="1824724727"/>
        <c:axId val="1893073664"/>
      </c:barChart>
      <c:catAx>
        <c:axId val="18247247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3073664"/>
      </c:catAx>
      <c:valAx>
        <c:axId val="18930736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Trivia Night (Th 6-9 PM 2025)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472472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Trivia Night (Th 6-9 PM 2024) vs. Total Day Sales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'Trivia Nights Sales Data'!$Q$61:$Q$70</c:f>
            </c:strRef>
          </c:cat>
          <c:val>
            <c:numRef>
              <c:f>'Trivia Nights Sales Data'!$S$48:$S$57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'Trivia Nights Sales Data'!$Q$61:$Q$70</c:f>
            </c:strRef>
          </c:cat>
          <c:val>
            <c:numRef>
              <c:f>'Trivia Nights Sales Data'!$S$61:$S$70</c:f>
              <c:numCache/>
            </c:numRef>
          </c:val>
        </c:ser>
        <c:overlap val="100"/>
        <c:axId val="717925266"/>
        <c:axId val="1274856554"/>
      </c:barChart>
      <c:catAx>
        <c:axId val="7179252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4856554"/>
      </c:catAx>
      <c:valAx>
        <c:axId val="12748565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Trivia Night (Th 6-9 PM 2025)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79252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Trivia Night Sales By Month (Thursdays 2025)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'Trivia Nights Sales Data'!$Q$48:$Q$57</c:f>
            </c:strRef>
          </c:cat>
          <c:val>
            <c:numRef>
              <c:f>'Trivia Nights Sales Data'!$U$48:$U$57</c:f>
              <c:numCache/>
            </c:numRef>
          </c:val>
        </c:ser>
        <c:axId val="1206685789"/>
        <c:axId val="1081724462"/>
      </c:barChart>
      <c:catAx>
        <c:axId val="12066857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1724462"/>
      </c:catAx>
      <c:valAx>
        <c:axId val="10817244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66857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Kids Eat Free Sales (Sat 5-9 PM) Vs Daily total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strRef>
              <c:f>'PercentKids Eat Free Data'!$B$2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'PercentKids Eat Free Data'!$G$4:$G$43</c:f>
            </c:strRef>
          </c:cat>
          <c:val>
            <c:numRef>
              <c:f>'PercentKids Eat Free Data'!$B$3:$B$42</c:f>
              <c:numCache/>
            </c:numRef>
          </c:val>
        </c:ser>
        <c:ser>
          <c:idx val="1"/>
          <c:order val="1"/>
          <c:tx>
            <c:strRef>
              <c:f>'PercentKids Eat Free Data'!$H$3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'PercentKids Eat Free Data'!$G$4:$G$43</c:f>
            </c:strRef>
          </c:cat>
          <c:val>
            <c:numRef>
              <c:f>'PercentKids Eat Free Data'!$H$4:$H$43</c:f>
              <c:numCache/>
            </c:numRef>
          </c:val>
        </c:ser>
        <c:overlap val="100"/>
        <c:axId val="850079799"/>
        <c:axId val="812422973"/>
      </c:barChart>
      <c:catAx>
        <c:axId val="850079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Kids eat Free (Saturday) 5-9 PM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2422973"/>
      </c:catAx>
      <c:valAx>
        <c:axId val="8124229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00797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Kids Eat Free Sales (Sat 5-9 PM) Vs Daily total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strRef>
              <c:f>'PercentKids Eat Free Graphs'!$B$2</c:f>
            </c:strRef>
          </c:tx>
          <c:cat>
            <c:strRef>
              <c:f>'PercentKids Eat Free Graphs'!$G$4:$G$43</c:f>
            </c:strRef>
          </c:cat>
          <c:val>
            <c:numRef>
              <c:f>'PercentKids Eat Free Graphs'!$B$3:$B$42</c:f>
              <c:numCache/>
            </c:numRef>
          </c:val>
        </c:ser>
        <c:ser>
          <c:idx val="1"/>
          <c:order val="1"/>
          <c:tx>
            <c:strRef>
              <c:f>'PercentKids Eat Free Graphs'!$H$3</c:f>
            </c:strRef>
          </c:tx>
          <c:cat>
            <c:strRef>
              <c:f>'PercentKids Eat Free Graphs'!$G$4:$G$43</c:f>
            </c:strRef>
          </c:cat>
          <c:val>
            <c:numRef>
              <c:f>'PercentKids Eat Free Graphs'!$H$4:$H$43</c:f>
              <c:numCache/>
            </c:numRef>
          </c:val>
        </c:ser>
        <c:overlap val="100"/>
        <c:axId val="1856153135"/>
        <c:axId val="1288661901"/>
      </c:barChart>
      <c:catAx>
        <c:axId val="1856153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Kids eat Free (Saturday) 5-9 PM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8661901"/>
      </c:catAx>
      <c:valAx>
        <c:axId val="1288661901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8561531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Saturday 5 - 9 PM sales (2024)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strRef>
              <c:f>'PercentKids Eat Free Graphs'!$N$2</c:f>
            </c:strRef>
          </c:tx>
          <c:cat>
            <c:strRef>
              <c:f>'PercentKids Eat Free Graphs'!$P$4:$P$43</c:f>
            </c:strRef>
          </c:cat>
          <c:val>
            <c:numRef>
              <c:f>'PercentKids Eat Free Graphs'!$N$3:$N$42</c:f>
              <c:numCache/>
            </c:numRef>
          </c:val>
        </c:ser>
        <c:ser>
          <c:idx val="1"/>
          <c:order val="1"/>
          <c:tx>
            <c:strRef>
              <c:f>'PercentKids Eat Free Graphs'!$Q$3</c:f>
            </c:strRef>
          </c:tx>
          <c:cat>
            <c:strRef>
              <c:f>'PercentKids Eat Free Graphs'!$P$4:$P$43</c:f>
            </c:strRef>
          </c:cat>
          <c:val>
            <c:numRef>
              <c:f>'PercentKids Eat Free Graphs'!$Q$4:$Q$43</c:f>
              <c:numCache/>
            </c:numRef>
          </c:val>
        </c:ser>
        <c:overlap val="100"/>
        <c:axId val="175346927"/>
        <c:axId val="728155278"/>
      </c:barChart>
      <c:catAx>
        <c:axId val="1753469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8155278"/>
      </c:catAx>
      <c:valAx>
        <c:axId val="72815527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753469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Trivia Night (Th 6-9 PM 2025) vs. Total Day Sales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strRef>
              <c:f>'PercentKids Eat Free Graphs'!$T$1</c:f>
            </c:strRef>
          </c:tx>
          <c:cat>
            <c:strRef>
              <c:f>'PercentKids Eat Free Graphs'!$V$3:$V$42</c:f>
            </c:strRef>
          </c:cat>
          <c:val>
            <c:numRef>
              <c:f>'PercentKids Eat Free Graphs'!$T$2:$T$41</c:f>
              <c:numCache/>
            </c:numRef>
          </c:val>
        </c:ser>
        <c:ser>
          <c:idx val="1"/>
          <c:order val="1"/>
          <c:tx>
            <c:strRef>
              <c:f>'PercentKids Eat Free Graphs'!$W$2</c:f>
            </c:strRef>
          </c:tx>
          <c:cat>
            <c:strRef>
              <c:f>'PercentKids Eat Free Graphs'!$V$3:$V$42</c:f>
            </c:strRef>
          </c:cat>
          <c:val>
            <c:numRef>
              <c:f>'PercentKids Eat Free Graphs'!$W$3:$W$42</c:f>
              <c:numCache/>
            </c:numRef>
          </c:val>
        </c:ser>
        <c:overlap val="100"/>
        <c:axId val="704377018"/>
        <c:axId val="1990309125"/>
      </c:barChart>
      <c:catAx>
        <c:axId val="7043770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0309125"/>
      </c:catAx>
      <c:valAx>
        <c:axId val="199030912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7043770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Kids Eat Free Sales (Sat 5-9 PM) Vs Daily total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strRef>
              <c:f>'PercentKids Eat Free Graphs'!$B$2</c:f>
            </c:strRef>
          </c:tx>
          <c:cat>
            <c:strRef>
              <c:f>'PercentKids Eat Free Graphs'!$G$4:$G$43</c:f>
            </c:strRef>
          </c:cat>
          <c:val>
            <c:numRef>
              <c:f>'PercentKids Eat Free Graphs'!$B$3:$B$42</c:f>
              <c:numCache/>
            </c:numRef>
          </c:val>
        </c:ser>
        <c:ser>
          <c:idx val="1"/>
          <c:order val="1"/>
          <c:tx>
            <c:strRef>
              <c:f>'PercentKids Eat Free Graphs'!$H$3</c:f>
            </c:strRef>
          </c:tx>
          <c:cat>
            <c:strRef>
              <c:f>'PercentKids Eat Free Graphs'!$G$4:$G$43</c:f>
            </c:strRef>
          </c:cat>
          <c:val>
            <c:numRef>
              <c:f>'PercentKids Eat Free Graphs'!$H$4:$H$43</c:f>
              <c:numCache/>
            </c:numRef>
          </c:val>
        </c:ser>
        <c:overlap val="100"/>
        <c:axId val="878108014"/>
        <c:axId val="586415119"/>
      </c:barChart>
      <c:catAx>
        <c:axId val="8781080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Kids eat Free (Saturday) 5-9 PM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6415119"/>
      </c:catAx>
      <c:valAx>
        <c:axId val="58641511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8781080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Percent Kids Eat Free Sales By Month (Saturdays 2025)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'PercentKids Eat Free Data'!$C$3:$C$11</c:f>
            </c:strRef>
          </c:cat>
          <c:val>
            <c:numRef>
              <c:f>'PercentKids Eat Free Data'!$F$3:$F$11</c:f>
              <c:numCache/>
            </c:numRef>
          </c:val>
        </c:ser>
        <c:axId val="1569458980"/>
        <c:axId val="351497814"/>
      </c:barChart>
      <c:catAx>
        <c:axId val="15694589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1497814"/>
      </c:catAx>
      <c:valAx>
        <c:axId val="3514978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94589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Kids Eat Free Sales (Sat 5-9 PM) Vs Daily total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strRef>
              <c:f>'PercentKids Eat Free Data'!$B$2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'PercentKids Eat Free Data'!$G$4:$G$43</c:f>
            </c:strRef>
          </c:cat>
          <c:val>
            <c:numRef>
              <c:f>'PercentKids Eat Free Data'!$B$3:$B$42</c:f>
              <c:numCache/>
            </c:numRef>
          </c:val>
        </c:ser>
        <c:ser>
          <c:idx val="1"/>
          <c:order val="1"/>
          <c:tx>
            <c:strRef>
              <c:f>'PercentKids Eat Free Data'!$H$3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'PercentKids Eat Free Data'!$G$4:$G$43</c:f>
            </c:strRef>
          </c:cat>
          <c:val>
            <c:numRef>
              <c:f>'PercentKids Eat Free Data'!$H$4:$H$43</c:f>
              <c:numCache/>
            </c:numRef>
          </c:val>
        </c:ser>
        <c:overlap val="100"/>
        <c:axId val="2062501973"/>
        <c:axId val="1178757955"/>
      </c:barChart>
      <c:catAx>
        <c:axId val="20625019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8757955"/>
      </c:catAx>
      <c:valAx>
        <c:axId val="11787579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25019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Saturday 5 - 9 PM sales Vs Daily Total (2024)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strRef>
              <c:f>'Trivia Nights Sales Data'!$E$47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'Trivia Nights Sales Data'!$G$49:$G$88</c:f>
            </c:strRef>
          </c:cat>
          <c:val>
            <c:numRef>
              <c:f>'Trivia Nights Sales Data'!$E$48:$E$87</c:f>
              <c:numCache/>
            </c:numRef>
          </c:val>
        </c:ser>
        <c:ser>
          <c:idx val="1"/>
          <c:order val="1"/>
          <c:tx>
            <c:strRef>
              <c:f>'Trivia Nights Sales Data'!$H$48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'Trivia Nights Sales Data'!$G$49:$G$88</c:f>
            </c:strRef>
          </c:cat>
          <c:val>
            <c:numRef>
              <c:f>'Trivia Nights Sales Data'!$H$49:$H$88</c:f>
              <c:numCache/>
            </c:numRef>
          </c:val>
        </c:ser>
        <c:overlap val="100"/>
        <c:axId val="1211120069"/>
        <c:axId val="99274706"/>
      </c:barChart>
      <c:catAx>
        <c:axId val="12111200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274706"/>
      </c:catAx>
      <c:valAx>
        <c:axId val="992747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 5-9 PM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11200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 black"/>
              </a:defRPr>
            </a:pPr>
            <a:r>
              <a:rPr b="1">
                <a:solidFill>
                  <a:srgbClr val="000000"/>
                </a:solidFill>
                <a:latin typeface="Arial black"/>
              </a:rPr>
              <a:t>October Drink Performance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'Drink Sales - Pints Only'!$B$21</c:f>
            </c:strRef>
          </c:tx>
          <c:spPr>
            <a:solidFill>
              <a:srgbClr val="F1C232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7F6000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BF90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'Drink Sales - Pints Only'!$A$22:$A$33</c:f>
            </c:strRef>
          </c:cat>
          <c:val>
            <c:numRef>
              <c:f>'Drink Sales - Pints Only'!$B$22:$B$33</c:f>
              <c:numCache/>
            </c:numRef>
          </c:val>
        </c:ser>
        <c:overlap val="100"/>
        <c:axId val="1463004719"/>
        <c:axId val="895616857"/>
      </c:barChart>
      <c:catAx>
        <c:axId val="146300471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</a:p>
        </c:txPr>
        <c:crossAx val="895616857"/>
      </c:catAx>
      <c:valAx>
        <c:axId val="89561685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</a:p>
        </c:txPr>
        <c:crossAx val="146300471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5 Appetizers (Aug)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'Appetizer Sales'!$A$3:$A$7</c:f>
            </c:strRef>
          </c:cat>
          <c:val>
            <c:numRef>
              <c:f>'Appetizer Sales'!$B$3:$B$7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5 Appetizers (Sep)</a:t>
            </a:r>
          </a:p>
        </c:rich>
      </c:tx>
      <c:layout>
        <c:manualLayout>
          <c:xMode val="edge"/>
          <c:yMode val="edge"/>
          <c:x val="0.03758333333333334"/>
          <c:y val="0.05"/>
        </c:manualLayout>
      </c:layout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'Appetizer Sales'!$A$13:$A$17</c:f>
            </c:strRef>
          </c:cat>
          <c:val>
            <c:numRef>
              <c:f>'Appetizer Sales'!$B$13:$B$17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5 Appetizers (Oct)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'Appetizer Sales'!$A$23:$A$26</c:f>
            </c:strRef>
          </c:cat>
          <c:val>
            <c:numRef>
              <c:f>'Appetizer Sales'!$B$23:$B$26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Relationship Id="rId5" Type="http://schemas.openxmlformats.org/officeDocument/2006/relationships/chart" Target="../charts/chart7.xml"/><Relationship Id="rId6" Type="http://schemas.openxmlformats.org/officeDocument/2006/relationships/chart" Target="../charts/chart8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Relationship Id="rId4" Type="http://schemas.openxmlformats.org/officeDocument/2006/relationships/chart" Target="../charts/chart13.xml"/><Relationship Id="rId5" Type="http://schemas.openxmlformats.org/officeDocument/2006/relationships/chart" Target="../charts/chart14.xml"/><Relationship Id="rId6" Type="http://schemas.openxmlformats.org/officeDocument/2006/relationships/chart" Target="../charts/chart15.xml"/><Relationship Id="rId7" Type="http://schemas.openxmlformats.org/officeDocument/2006/relationships/chart" Target="../charts/chart1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Chart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Chart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Chart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image" Target="../media/Chart21.png"/><Relationship Id="rId3" Type="http://schemas.openxmlformats.org/officeDocument/2006/relationships/image" Target="../media/Chart2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Relationship Id="rId3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Relationship Id="rId3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.xml"/><Relationship Id="rId2" Type="http://schemas.openxmlformats.org/officeDocument/2006/relationships/chart" Target="../charts/chart19.xml"/><Relationship Id="rId3" Type="http://schemas.openxmlformats.org/officeDocument/2006/relationships/chart" Target="../charts/chart20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Chart26.png"/><Relationship Id="rId2" Type="http://schemas.openxmlformats.org/officeDocument/2006/relationships/image" Target="../media/Chart27.png"/><Relationship Id="rId3" Type="http://schemas.openxmlformats.org/officeDocument/2006/relationships/image" Target="../media/Chart28.png"/><Relationship Id="rId4" Type="http://schemas.openxmlformats.org/officeDocument/2006/relationships/image" Target="../media/image8.png"/><Relationship Id="rId5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857250</xdr:colOff>
      <xdr:row>1</xdr:row>
      <xdr:rowOff>95250</xdr:rowOff>
    </xdr:from>
    <xdr:ext cx="3962400" cy="24574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409575</xdr:colOff>
      <xdr:row>1</xdr:row>
      <xdr:rowOff>104775</xdr:rowOff>
    </xdr:from>
    <xdr:ext cx="4019550" cy="24574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942975</xdr:colOff>
      <xdr:row>1</xdr:row>
      <xdr:rowOff>190500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</xdr:row>
      <xdr:rowOff>190500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438150</xdr:colOff>
      <xdr:row>1</xdr:row>
      <xdr:rowOff>190500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17</xdr:row>
      <xdr:rowOff>28575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923925</xdr:colOff>
      <xdr:row>17</xdr:row>
      <xdr:rowOff>38100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11</xdr:col>
      <xdr:colOff>0</xdr:colOff>
      <xdr:row>17</xdr:row>
      <xdr:rowOff>28575</xdr:rowOff>
    </xdr:from>
    <xdr:ext cx="5476875" cy="33813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409575</xdr:colOff>
      <xdr:row>70</xdr:row>
      <xdr:rowOff>190500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47</xdr:row>
      <xdr:rowOff>190500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685800</xdr:colOff>
      <xdr:row>48</xdr:row>
      <xdr:rowOff>133350</xdr:rowOff>
    </xdr:from>
    <xdr:ext cx="57150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18</xdr:col>
      <xdr:colOff>466725</xdr:colOff>
      <xdr:row>48</xdr:row>
      <xdr:rowOff>133350</xdr:rowOff>
    </xdr:from>
    <xdr:ext cx="5715000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409575</xdr:colOff>
      <xdr:row>81</xdr:row>
      <xdr:rowOff>190500</xdr:rowOff>
    </xdr:from>
    <xdr:ext cx="5715000" cy="35337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57150</xdr:colOff>
      <xdr:row>12</xdr:row>
      <xdr:rowOff>190500</xdr:rowOff>
    </xdr:from>
    <xdr:ext cx="5476875" cy="338137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57150</xdr:colOff>
      <xdr:row>0</xdr:row>
      <xdr:rowOff>0</xdr:rowOff>
    </xdr:from>
    <xdr:ext cx="5715000" cy="353377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5</xdr:col>
      <xdr:colOff>923925</xdr:colOff>
      <xdr:row>0</xdr:row>
      <xdr:rowOff>0</xdr:rowOff>
    </xdr:from>
    <xdr:ext cx="5715000" cy="353377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933450</xdr:colOff>
      <xdr:row>0</xdr:row>
      <xdr:rowOff>0</xdr:rowOff>
    </xdr:from>
    <xdr:ext cx="8963025" cy="5524500"/>
    <xdr:pic>
      <xdr:nvPicPr>
        <xdr:cNvPr id="1133381534" name="Chart1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123825</xdr:colOff>
      <xdr:row>0</xdr:row>
      <xdr:rowOff>85725</xdr:rowOff>
    </xdr:from>
    <xdr:ext cx="8210550" cy="4200525"/>
    <xdr:pic>
      <xdr:nvPicPr>
        <xdr:cNvPr id="76627656" name="Chart1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57150</xdr:colOff>
      <xdr:row>0</xdr:row>
      <xdr:rowOff>0</xdr:rowOff>
    </xdr:from>
    <xdr:ext cx="11458575" cy="6019800"/>
    <xdr:pic>
      <xdr:nvPicPr>
        <xdr:cNvPr id="619728973" name="Chart1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</xdr:colOff>
      <xdr:row>14</xdr:row>
      <xdr:rowOff>47625</xdr:rowOff>
    </xdr:from>
    <xdr:ext cx="5419725" cy="4591050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390525</xdr:colOff>
      <xdr:row>14</xdr:row>
      <xdr:rowOff>47625</xdr:rowOff>
    </xdr:from>
    <xdr:ext cx="7486650" cy="4591050"/>
    <xdr:pic>
      <xdr:nvPicPr>
        <xdr:cNvPr id="1200194635" name="Chart2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438150</xdr:colOff>
      <xdr:row>32</xdr:row>
      <xdr:rowOff>200025</xdr:rowOff>
    </xdr:from>
    <xdr:ext cx="7486650" cy="4591050"/>
    <xdr:pic>
      <xdr:nvPicPr>
        <xdr:cNvPr id="515926929" name="Chart2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8</xdr:row>
      <xdr:rowOff>9525</xdr:rowOff>
    </xdr:from>
    <xdr:ext cx="6334125" cy="34766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7</xdr:row>
      <xdr:rowOff>171450</xdr:rowOff>
    </xdr:from>
    <xdr:ext cx="4686300" cy="25812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342900</xdr:colOff>
      <xdr:row>7</xdr:row>
      <xdr:rowOff>104775</xdr:rowOff>
    </xdr:from>
    <xdr:ext cx="4810125" cy="264795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781050</xdr:colOff>
      <xdr:row>7</xdr:row>
      <xdr:rowOff>104775</xdr:rowOff>
    </xdr:from>
    <xdr:ext cx="4810125" cy="2647950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8</xdr:row>
      <xdr:rowOff>95250</xdr:rowOff>
    </xdr:from>
    <xdr:ext cx="4600575" cy="2524125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285750</xdr:colOff>
      <xdr:row>8</xdr:row>
      <xdr:rowOff>28575</xdr:rowOff>
    </xdr:from>
    <xdr:ext cx="4714875" cy="26289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638175</xdr:colOff>
      <xdr:row>8</xdr:row>
      <xdr:rowOff>28575</xdr:rowOff>
    </xdr:from>
    <xdr:ext cx="4600575" cy="2524125"/>
    <xdr:pic>
      <xdr:nvPicPr>
        <xdr:cNvPr id="0" name="image6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</xdr:colOff>
      <xdr:row>0</xdr:row>
      <xdr:rowOff>0</xdr:rowOff>
    </xdr:from>
    <xdr:ext cx="2333625" cy="1447800"/>
    <xdr:graphicFrame>
      <xdr:nvGraphicFramePr>
        <xdr:cNvPr id="23" name="Chart 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9525</xdr:colOff>
      <xdr:row>9</xdr:row>
      <xdr:rowOff>123825</xdr:rowOff>
    </xdr:from>
    <xdr:ext cx="2419350" cy="1495425"/>
    <xdr:graphicFrame>
      <xdr:nvGraphicFramePr>
        <xdr:cNvPr id="24" name="Chart 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57150</xdr:colOff>
      <xdr:row>19</xdr:row>
      <xdr:rowOff>171450</xdr:rowOff>
    </xdr:from>
    <xdr:ext cx="2238375" cy="1390650"/>
    <xdr:graphicFrame>
      <xdr:nvGraphicFramePr>
        <xdr:cNvPr id="25" name="Chart 2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228600</xdr:colOff>
      <xdr:row>14</xdr:row>
      <xdr:rowOff>190500</xdr:rowOff>
    </xdr:from>
    <xdr:ext cx="4600575" cy="2847975"/>
    <xdr:pic>
      <xdr:nvPicPr>
        <xdr:cNvPr id="1700870834" name="Chart2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66675</xdr:rowOff>
    </xdr:from>
    <xdr:ext cx="4200525" cy="2590800"/>
    <xdr:pic>
      <xdr:nvPicPr>
        <xdr:cNvPr id="2116948661" name="Chart2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533400</xdr:colOff>
      <xdr:row>0</xdr:row>
      <xdr:rowOff>171450</xdr:rowOff>
    </xdr:from>
    <xdr:ext cx="4352925" cy="2686050"/>
    <xdr:pic>
      <xdr:nvPicPr>
        <xdr:cNvPr id="921013868" name="Chart2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533400</xdr:colOff>
      <xdr:row>1</xdr:row>
      <xdr:rowOff>38100</xdr:rowOff>
    </xdr:from>
    <xdr:ext cx="3686175" cy="2638425"/>
    <xdr:pic>
      <xdr:nvPicPr>
        <xdr:cNvPr id="0" name="image8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228600</xdr:colOff>
      <xdr:row>15</xdr:row>
      <xdr:rowOff>47625</xdr:rowOff>
    </xdr:from>
    <xdr:ext cx="4600575" cy="2943225"/>
    <xdr:pic>
      <xdr:nvPicPr>
        <xdr:cNvPr id="0" name="image9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M2:O12" displayName="Table2" name="Table2" id="1">
  <tableColumns count="3">
    <tableColumn name="Month" id="1"/>
    <tableColumn name="Sales 2025" id="2"/>
    <tableColumn name="Sales 2024" id="3"/>
  </tableColumns>
  <tableStyleInfo name="Trivia Nights Sales Data-style" showColumnStripes="0" showFirstColumn="1" showLastColumn="1" showRowStripes="1"/>
</table>
</file>

<file path=xl/tables/table2.xml><?xml version="1.0" encoding="utf-8"?>
<table xmlns="http://schemas.openxmlformats.org/spreadsheetml/2006/main" ref="B3:C43" displayName="Table1" name="Table1" id="2">
  <tableColumns count="2">
    <tableColumn name="Date" id="1"/>
    <tableColumn name="Trivia Night (Th 6-9 PM 2025)" id="2"/>
  </tableColumns>
  <tableStyleInfo name="Trivia Nights Sales Data-style 2" showColumnStripes="0" showFirstColumn="1" showLastColumn="1" showRowStripes="1"/>
</table>
</file>

<file path=xl/tables/table3.xml><?xml version="1.0" encoding="utf-8"?>
<table xmlns="http://schemas.openxmlformats.org/spreadsheetml/2006/main" headerRowCount="0" ref="M15:N24" displayName="Table_1" name="Table_1" id="3">
  <tableColumns count="2">
    <tableColumn name="Column1" id="1"/>
    <tableColumn name="Column2" id="2"/>
  </tableColumns>
  <tableStyleInfo name="Trivia Nights Sales Data-style 3" showColumnStripes="0" showFirstColumn="1" showLastColumn="1" showRowStripes="1"/>
</table>
</file>

<file path=xl/tables/table4.xml><?xml version="1.0" encoding="utf-8"?>
<table xmlns="http://schemas.openxmlformats.org/spreadsheetml/2006/main" ref="J46:K86" displayName="Table3" name="Table3" id="4">
  <tableColumns count="2">
    <tableColumn name="Date" id="1"/>
    <tableColumn name="Trivia Night (Th 6-9 PM 2025)" id="2"/>
  </tableColumns>
  <tableStyleInfo name="Trivia Nights Sales Data-style 4" showColumnStripes="0" showFirstColumn="1" showLastColumn="1" showRowStripes="1"/>
</table>
</file>

<file path=xl/tables/table5.xml><?xml version="1.0" encoding="utf-8"?>
<table xmlns="http://schemas.openxmlformats.org/spreadsheetml/2006/main" ref="M2:O12" displayName="Table2_2" name="Table2_2" id="5">
  <tableColumns count="3">
    <tableColumn name="Month" id="1"/>
    <tableColumn name="Sales 2025" id="2"/>
    <tableColumn name="Sales 2024" id="3"/>
  </tableColumns>
  <tableStyleInfo name="Trivia Nights Sales Graphs-style" showColumnStripes="0" showFirstColumn="1" showLastColumn="1" showRowStripes="1"/>
</table>
</file>

<file path=xl/tables/table6.xml><?xml version="1.0" encoding="utf-8"?>
<table xmlns="http://schemas.openxmlformats.org/spreadsheetml/2006/main" headerRowCount="0" ref="M15:N24" displayName="Table_2" name="Table_2" id="6">
  <tableColumns count="2">
    <tableColumn name="Column1" id="1"/>
    <tableColumn name="Column2" id="2"/>
  </tableColumns>
  <tableStyleInfo name="Trivia Nights Sales Graphs-style 2" showColumnStripes="0" showFirstColumn="1" showLastColumn="1" showRowStripes="1"/>
</table>
</file>

<file path=xl/tables/table7.xml><?xml version="1.0" encoding="utf-8"?>
<table xmlns="http://schemas.openxmlformats.org/spreadsheetml/2006/main" ref="S1:T41" displayName="Table3_2" name="Table3_2" id="7">
  <tableColumns count="2">
    <tableColumn name="Column 1" id="1"/>
    <tableColumn name="Column 2" id="2"/>
  </tableColumns>
  <tableStyleInfo name="PercentKids Eat Free Graph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1drv.ms/x/c/655af2e266bf4234/IQAu7GWckqPAS4ttdLTwUJ5-AdKjX1Rg4H5rYq9WXekEUqQ" TargetMode="External"/><Relationship Id="rId2" Type="http://schemas.openxmlformats.org/officeDocument/2006/relationships/hyperlink" Target="https://1drv.ms/x/c/655af2e266bf4234/IQBmRBqjJ_NGR4FpUkny2wudAWH8VTGtZmcwjELaPmg1oDY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irma.nps.gov/Stats/SSRSReports/Park%20Specific%20Reports/Monthly%20Public%20Use?Park=GRCA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irma.nps.gov/Stats/SSRSReports/Park%20Specific%20Reports/Monthly%20Public%20Use?Park=MOCA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fred.stlouisfed.org/series/APUS48A74714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5.0"/>
  </cols>
  <sheetData>
    <row r="3">
      <c r="A3" s="1" t="s">
        <v>0</v>
      </c>
    </row>
    <row r="5">
      <c r="A5" s="1" t="s">
        <v>1</v>
      </c>
    </row>
  </sheetData>
  <hyperlinks>
    <hyperlink r:id="rId1" ref="A3"/>
    <hyperlink r:id="rId2" ref="A5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</cols>
  <sheetData>
    <row r="1">
      <c r="A1" s="2" t="s">
        <v>2</v>
      </c>
      <c r="B1" s="3"/>
      <c r="D1" s="2" t="s">
        <v>3</v>
      </c>
      <c r="E1" s="3"/>
    </row>
    <row r="2">
      <c r="A2" s="4">
        <v>45661.0</v>
      </c>
      <c r="B2" s="5">
        <v>517.5</v>
      </c>
      <c r="D2" s="4">
        <v>45297.0</v>
      </c>
      <c r="E2" s="5">
        <v>362.0</v>
      </c>
    </row>
    <row r="3">
      <c r="A3" s="4">
        <v>45668.0</v>
      </c>
      <c r="B3" s="5">
        <v>621.0</v>
      </c>
      <c r="D3" s="4">
        <v>45304.0</v>
      </c>
      <c r="E3" s="5">
        <v>488.5</v>
      </c>
    </row>
    <row r="4">
      <c r="A4" s="4">
        <v>45675.0</v>
      </c>
      <c r="B4" s="5">
        <v>571.5</v>
      </c>
      <c r="D4" s="4">
        <v>45311.0</v>
      </c>
      <c r="E4" s="5">
        <v>564.5</v>
      </c>
    </row>
    <row r="5">
      <c r="A5" s="4">
        <v>45682.0</v>
      </c>
      <c r="B5" s="5">
        <v>583.5</v>
      </c>
      <c r="D5" s="4">
        <v>45318.0</v>
      </c>
      <c r="E5" s="5">
        <v>565.5</v>
      </c>
    </row>
    <row r="6">
      <c r="A6" s="4">
        <v>45689.0</v>
      </c>
      <c r="B6" s="5">
        <v>616.5</v>
      </c>
      <c r="D6" s="4">
        <v>45325.0</v>
      </c>
      <c r="E6" s="5">
        <v>621.5</v>
      </c>
    </row>
    <row r="7">
      <c r="A7" s="4">
        <v>45696.0</v>
      </c>
      <c r="B7" s="5">
        <v>466.0</v>
      </c>
      <c r="D7" s="4">
        <v>45332.0</v>
      </c>
      <c r="E7" s="5">
        <v>516.5</v>
      </c>
    </row>
    <row r="8">
      <c r="A8" s="4">
        <v>45703.0</v>
      </c>
      <c r="B8" s="5">
        <v>926.0</v>
      </c>
      <c r="D8" s="4">
        <v>45339.0</v>
      </c>
      <c r="E8" s="5">
        <v>1247.0</v>
      </c>
    </row>
    <row r="9">
      <c r="A9" s="4">
        <v>45710.0</v>
      </c>
      <c r="B9" s="5">
        <v>912.0</v>
      </c>
      <c r="D9" s="4">
        <v>45346.0</v>
      </c>
      <c r="E9" s="5">
        <v>549.0</v>
      </c>
    </row>
    <row r="10">
      <c r="A10" s="4">
        <v>45717.0</v>
      </c>
      <c r="B10" s="5">
        <v>805.5</v>
      </c>
      <c r="D10" s="4">
        <v>45353.0</v>
      </c>
      <c r="E10" s="5">
        <v>923.5</v>
      </c>
    </row>
    <row r="11">
      <c r="A11" s="4">
        <v>45724.0</v>
      </c>
      <c r="B11" s="5">
        <v>783.0</v>
      </c>
      <c r="D11" s="4">
        <v>45360.0</v>
      </c>
      <c r="E11" s="5">
        <v>743.5</v>
      </c>
    </row>
    <row r="12">
      <c r="A12" s="4">
        <v>45731.0</v>
      </c>
      <c r="B12" s="5">
        <v>1286.0</v>
      </c>
      <c r="D12" s="4">
        <v>45367.0</v>
      </c>
      <c r="E12" s="5">
        <v>761.0</v>
      </c>
    </row>
    <row r="13">
      <c r="A13" s="4">
        <v>45738.0</v>
      </c>
      <c r="B13" s="5">
        <v>1690.5</v>
      </c>
      <c r="D13" s="4">
        <v>45374.0</v>
      </c>
      <c r="E13" s="5">
        <v>1183.5</v>
      </c>
    </row>
    <row r="14">
      <c r="A14" s="4">
        <v>45745.0</v>
      </c>
      <c r="B14" s="5">
        <v>1146.0</v>
      </c>
      <c r="D14" s="4">
        <v>45381.0</v>
      </c>
      <c r="E14" s="5">
        <v>659.0</v>
      </c>
    </row>
    <row r="15">
      <c r="A15" s="4">
        <v>45752.0</v>
      </c>
      <c r="B15" s="5">
        <v>1262.0</v>
      </c>
      <c r="D15" s="4">
        <v>45388.0</v>
      </c>
      <c r="E15" s="5">
        <v>1266.0</v>
      </c>
    </row>
    <row r="16">
      <c r="A16" s="4">
        <v>45759.0</v>
      </c>
      <c r="B16" s="5">
        <v>935.0</v>
      </c>
      <c r="D16" s="4">
        <v>45395.0</v>
      </c>
      <c r="E16" s="5">
        <v>580.0</v>
      </c>
    </row>
    <row r="17">
      <c r="A17" s="4">
        <v>45766.0</v>
      </c>
      <c r="B17" s="5">
        <v>1560.0</v>
      </c>
      <c r="D17" s="4">
        <v>45402.0</v>
      </c>
      <c r="E17" s="5">
        <v>1011.5</v>
      </c>
    </row>
    <row r="18">
      <c r="A18" s="4">
        <v>45773.0</v>
      </c>
      <c r="B18" s="5">
        <v>577.5</v>
      </c>
      <c r="D18" s="4">
        <v>45409.0</v>
      </c>
      <c r="E18" s="5">
        <v>920.5</v>
      </c>
    </row>
    <row r="19">
      <c r="A19" s="4">
        <v>45780.0</v>
      </c>
      <c r="B19" s="5">
        <v>517.0</v>
      </c>
      <c r="D19" s="4">
        <v>45416.0</v>
      </c>
      <c r="E19" s="5">
        <v>766.5</v>
      </c>
    </row>
    <row r="20">
      <c r="A20" s="4">
        <v>45787.0</v>
      </c>
      <c r="B20" s="5">
        <v>707.5</v>
      </c>
      <c r="D20" s="4">
        <v>45423.0</v>
      </c>
      <c r="E20" s="5">
        <v>1076.0</v>
      </c>
    </row>
    <row r="21">
      <c r="A21" s="4">
        <v>45794.0</v>
      </c>
      <c r="B21" s="5">
        <v>748.0</v>
      </c>
      <c r="D21" s="4">
        <v>45430.0</v>
      </c>
      <c r="E21" s="5">
        <v>1154.0</v>
      </c>
    </row>
    <row r="22">
      <c r="A22" s="4">
        <v>45801.0</v>
      </c>
      <c r="B22" s="5">
        <v>1105.0</v>
      </c>
      <c r="D22" s="4">
        <v>45437.0</v>
      </c>
      <c r="E22" s="5">
        <v>793.5</v>
      </c>
    </row>
    <row r="23">
      <c r="A23" s="4">
        <v>45808.0</v>
      </c>
      <c r="B23" s="5">
        <v>374.0</v>
      </c>
      <c r="D23" s="4">
        <v>45444.0</v>
      </c>
      <c r="E23" s="5">
        <v>768.0</v>
      </c>
    </row>
    <row r="24">
      <c r="A24" s="4">
        <v>45815.0</v>
      </c>
      <c r="B24" s="5">
        <v>756.5</v>
      </c>
      <c r="D24" s="4">
        <v>45451.0</v>
      </c>
      <c r="E24" s="5">
        <v>624.0</v>
      </c>
    </row>
    <row r="25">
      <c r="A25" s="4">
        <v>45822.0</v>
      </c>
      <c r="B25" s="5">
        <v>654.0</v>
      </c>
      <c r="D25" s="4">
        <v>45458.0</v>
      </c>
      <c r="E25" s="5">
        <v>218.5</v>
      </c>
    </row>
    <row r="26">
      <c r="A26" s="4">
        <v>45829.0</v>
      </c>
      <c r="B26" s="5">
        <v>608.0</v>
      </c>
      <c r="D26" s="4">
        <v>45465.0</v>
      </c>
      <c r="E26" s="5">
        <v>581.0</v>
      </c>
    </row>
    <row r="27">
      <c r="A27" s="4">
        <v>45836.0</v>
      </c>
      <c r="B27" s="5">
        <v>691.5</v>
      </c>
      <c r="D27" s="4">
        <v>45472.0</v>
      </c>
      <c r="E27" s="5">
        <v>581.0</v>
      </c>
    </row>
    <row r="28">
      <c r="A28" s="4">
        <v>45843.0</v>
      </c>
      <c r="B28" s="5">
        <v>696.0</v>
      </c>
      <c r="D28" s="4">
        <v>45479.0</v>
      </c>
      <c r="E28" s="5">
        <v>522.5</v>
      </c>
    </row>
    <row r="29">
      <c r="A29" s="4">
        <v>45850.0</v>
      </c>
      <c r="B29" s="5">
        <v>780.0</v>
      </c>
      <c r="D29" s="4">
        <v>45486.0</v>
      </c>
      <c r="E29" s="5">
        <v>417.5</v>
      </c>
    </row>
    <row r="30">
      <c r="A30" s="4">
        <v>45857.0</v>
      </c>
      <c r="B30" s="5">
        <v>784.0</v>
      </c>
      <c r="D30" s="4">
        <v>45493.0</v>
      </c>
      <c r="E30" s="5">
        <v>543.0</v>
      </c>
    </row>
    <row r="31">
      <c r="A31" s="4">
        <v>45864.0</v>
      </c>
      <c r="B31" s="5">
        <v>469.0</v>
      </c>
      <c r="D31" s="4">
        <v>45500.0</v>
      </c>
      <c r="E31" s="5">
        <v>706.5</v>
      </c>
    </row>
    <row r="32">
      <c r="A32" s="4">
        <v>45871.0</v>
      </c>
      <c r="B32" s="5">
        <v>600.5</v>
      </c>
      <c r="D32" s="4">
        <v>45507.0</v>
      </c>
      <c r="E32" s="5">
        <v>488.0</v>
      </c>
    </row>
    <row r="33">
      <c r="A33" s="4">
        <v>45878.0</v>
      </c>
      <c r="B33" s="5">
        <v>577.0</v>
      </c>
      <c r="D33" s="4">
        <v>45514.0</v>
      </c>
      <c r="E33" s="5">
        <v>986.5</v>
      </c>
    </row>
    <row r="34">
      <c r="A34" s="4">
        <v>45885.0</v>
      </c>
      <c r="B34" s="5">
        <v>1225.5</v>
      </c>
      <c r="D34" s="4">
        <v>45521.0</v>
      </c>
      <c r="E34" s="5">
        <v>414.5</v>
      </c>
    </row>
    <row r="35">
      <c r="A35" s="4">
        <v>45892.0</v>
      </c>
      <c r="B35" s="5">
        <v>900.0</v>
      </c>
      <c r="D35" s="4">
        <v>45528.0</v>
      </c>
      <c r="E35" s="5">
        <v>505.5</v>
      </c>
    </row>
    <row r="36">
      <c r="A36" s="4">
        <v>45899.0</v>
      </c>
      <c r="B36" s="5">
        <v>805.5</v>
      </c>
      <c r="D36" s="4">
        <v>45535.0</v>
      </c>
      <c r="E36" s="5">
        <v>1366.0</v>
      </c>
    </row>
    <row r="37">
      <c r="A37" s="4">
        <v>45906.0</v>
      </c>
      <c r="B37" s="5">
        <v>462.0</v>
      </c>
      <c r="D37" s="4">
        <v>45542.0</v>
      </c>
      <c r="E37" s="5">
        <v>849.5</v>
      </c>
    </row>
    <row r="38">
      <c r="A38" s="4">
        <v>45913.0</v>
      </c>
      <c r="B38" s="5">
        <v>621.0</v>
      </c>
      <c r="D38" s="4">
        <v>45549.0</v>
      </c>
      <c r="E38" s="5">
        <v>385.0</v>
      </c>
    </row>
    <row r="39">
      <c r="A39" s="4">
        <v>45920.0</v>
      </c>
      <c r="B39" s="5">
        <v>379.5</v>
      </c>
      <c r="D39" s="4">
        <v>45556.0</v>
      </c>
      <c r="E39" s="5">
        <v>731.0</v>
      </c>
    </row>
    <row r="40">
      <c r="A40" s="4">
        <v>45927.0</v>
      </c>
      <c r="B40" s="5">
        <v>585.0</v>
      </c>
      <c r="D40" s="4">
        <v>45563.0</v>
      </c>
      <c r="E40" s="5">
        <v>733.0</v>
      </c>
    </row>
    <row r="41">
      <c r="A41" s="4">
        <v>45934.0</v>
      </c>
      <c r="B41" s="5">
        <v>1098.5</v>
      </c>
      <c r="D41" s="4">
        <v>45570.0</v>
      </c>
      <c r="E41" s="5">
        <v>665.0</v>
      </c>
    </row>
    <row r="46">
      <c r="A46" s="6" t="s">
        <v>4</v>
      </c>
      <c r="B46" s="7">
        <f>AVERAGE(B2:B41)</f>
        <v>785.1125</v>
      </c>
      <c r="D46" s="6" t="s">
        <v>4</v>
      </c>
      <c r="E46" s="7">
        <f>AVERAGE(E2:E41)</f>
        <v>720.975</v>
      </c>
    </row>
  </sheetData>
  <mergeCells count="2">
    <mergeCell ref="A1:B1"/>
    <mergeCell ref="D1:E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2.88"/>
    <col customWidth="1" min="14" max="14" width="12.75"/>
    <col customWidth="1" min="15" max="15" width="14.13"/>
  </cols>
  <sheetData>
    <row r="1">
      <c r="F1" s="8" t="s">
        <v>5</v>
      </c>
      <c r="G1" s="9"/>
      <c r="Q1" s="8" t="s">
        <v>5</v>
      </c>
      <c r="R1" s="9"/>
    </row>
    <row r="2" ht="22.5" customHeight="1">
      <c r="F2" s="10">
        <v>45295.0</v>
      </c>
      <c r="G2" s="5">
        <v>470.5</v>
      </c>
      <c r="M2" s="11" t="s">
        <v>6</v>
      </c>
      <c r="N2" s="11" t="s">
        <v>7</v>
      </c>
      <c r="O2" s="12" t="s">
        <v>8</v>
      </c>
      <c r="Q2" s="10">
        <v>45295.0</v>
      </c>
      <c r="R2" s="5">
        <v>470.5</v>
      </c>
    </row>
    <row r="3" ht="22.5" customHeight="1">
      <c r="B3" s="13" t="s">
        <v>9</v>
      </c>
      <c r="C3" s="13" t="s">
        <v>10</v>
      </c>
      <c r="F3" s="10">
        <v>45302.0</v>
      </c>
      <c r="G3" s="5">
        <v>263.5</v>
      </c>
      <c r="M3" s="14" t="s">
        <v>11</v>
      </c>
      <c r="N3" s="15">
        <f>2751.5</f>
        <v>2751.5</v>
      </c>
      <c r="O3" s="16">
        <v>1379.5</v>
      </c>
      <c r="Q3" s="10">
        <v>45302.0</v>
      </c>
      <c r="R3" s="5">
        <v>263.5</v>
      </c>
    </row>
    <row r="4" ht="22.5" customHeight="1">
      <c r="B4" s="17">
        <v>45659.0</v>
      </c>
      <c r="C4" s="18">
        <v>493.5</v>
      </c>
      <c r="F4" s="10">
        <v>45309.0</v>
      </c>
      <c r="G4" s="5">
        <v>213.0</v>
      </c>
      <c r="M4" s="14" t="s">
        <v>12</v>
      </c>
      <c r="N4" s="18">
        <v>3002.5</v>
      </c>
      <c r="O4" s="16">
        <v>2575.0</v>
      </c>
      <c r="Q4" s="10">
        <v>45309.0</v>
      </c>
      <c r="R4" s="5">
        <v>213.0</v>
      </c>
    </row>
    <row r="5" ht="22.5" customHeight="1">
      <c r="B5" s="17">
        <v>45666.0</v>
      </c>
      <c r="C5" s="18">
        <v>520.5</v>
      </c>
      <c r="F5" s="10">
        <v>45316.0</v>
      </c>
      <c r="G5" s="5">
        <v>432.5</v>
      </c>
      <c r="M5" s="14" t="s">
        <v>13</v>
      </c>
      <c r="N5" s="18">
        <v>2092.5</v>
      </c>
      <c r="O5" s="16">
        <v>2234.0</v>
      </c>
      <c r="Q5" s="10">
        <v>45316.0</v>
      </c>
      <c r="R5" s="5">
        <v>432.5</v>
      </c>
    </row>
    <row r="6" ht="22.5" customHeight="1">
      <c r="B6" s="17">
        <v>45673.0</v>
      </c>
      <c r="C6" s="18">
        <v>601.0</v>
      </c>
      <c r="F6" s="10">
        <v>45323.0</v>
      </c>
      <c r="G6" s="5">
        <v>533.5</v>
      </c>
      <c r="M6" s="14" t="s">
        <v>14</v>
      </c>
      <c r="N6" s="18">
        <v>3387.5</v>
      </c>
      <c r="O6" s="16">
        <v>2881.0</v>
      </c>
      <c r="Q6" s="10">
        <v>45323.0</v>
      </c>
      <c r="R6" s="5">
        <v>533.5</v>
      </c>
    </row>
    <row r="7" ht="22.5" customHeight="1">
      <c r="B7" s="17">
        <v>45680.0</v>
      </c>
      <c r="C7" s="18">
        <v>682.5</v>
      </c>
      <c r="F7" s="10">
        <v>45330.0</v>
      </c>
      <c r="G7" s="5">
        <v>355.0</v>
      </c>
      <c r="M7" s="14" t="s">
        <v>15</v>
      </c>
      <c r="N7" s="18">
        <v>3672.5</v>
      </c>
      <c r="O7" s="16">
        <v>3543.0</v>
      </c>
      <c r="Q7" s="10">
        <v>45330.0</v>
      </c>
      <c r="R7" s="5">
        <v>355.0</v>
      </c>
    </row>
    <row r="8" ht="22.5" customHeight="1">
      <c r="B8" s="17">
        <v>45687.0</v>
      </c>
      <c r="C8" s="18">
        <v>454.0</v>
      </c>
      <c r="F8" s="10">
        <v>45337.0</v>
      </c>
      <c r="G8" s="5">
        <v>552.5</v>
      </c>
      <c r="M8" s="14" t="s">
        <v>16</v>
      </c>
      <c r="N8" s="18">
        <v>2818.0</v>
      </c>
      <c r="O8" s="16">
        <v>1520.5</v>
      </c>
      <c r="Q8" s="10">
        <v>45337.0</v>
      </c>
      <c r="R8" s="5">
        <v>552.5</v>
      </c>
    </row>
    <row r="9" ht="22.5" customHeight="1">
      <c r="B9" s="17">
        <v>45694.0</v>
      </c>
      <c r="C9" s="18">
        <v>448.5</v>
      </c>
      <c r="F9" s="10">
        <v>45344.0</v>
      </c>
      <c r="G9" s="5">
        <v>540.0</v>
      </c>
      <c r="M9" s="14" t="s">
        <v>17</v>
      </c>
      <c r="N9" s="18">
        <v>3062.0</v>
      </c>
      <c r="O9" s="16">
        <v>1401.5</v>
      </c>
      <c r="Q9" s="10">
        <v>45344.0</v>
      </c>
      <c r="R9" s="5">
        <v>540.0</v>
      </c>
    </row>
    <row r="10" ht="22.5" customHeight="1">
      <c r="B10" s="17">
        <v>45701.0</v>
      </c>
      <c r="C10" s="18">
        <v>786.0</v>
      </c>
      <c r="F10" s="10">
        <v>45351.0</v>
      </c>
      <c r="G10" s="5">
        <v>594.0</v>
      </c>
      <c r="M10" s="14" t="s">
        <v>18</v>
      </c>
      <c r="N10" s="18">
        <v>2187.5</v>
      </c>
      <c r="O10" s="16">
        <v>2031.5</v>
      </c>
      <c r="Q10" s="10">
        <v>45351.0</v>
      </c>
      <c r="R10" s="5">
        <v>594.0</v>
      </c>
    </row>
    <row r="11" ht="22.5" customHeight="1">
      <c r="B11" s="17">
        <v>45708.0</v>
      </c>
      <c r="C11" s="18">
        <v>854.5</v>
      </c>
      <c r="F11" s="10">
        <v>45358.0</v>
      </c>
      <c r="G11" s="5">
        <v>512.0</v>
      </c>
      <c r="M11" s="14" t="s">
        <v>19</v>
      </c>
      <c r="N11" s="18">
        <v>1777.5</v>
      </c>
      <c r="O11" s="16">
        <v>2559.5</v>
      </c>
      <c r="Q11" s="10">
        <v>45358.0</v>
      </c>
      <c r="R11" s="5">
        <v>512.0</v>
      </c>
    </row>
    <row r="12" ht="22.5" customHeight="1">
      <c r="B12" s="17">
        <v>45715.0</v>
      </c>
      <c r="C12" s="18">
        <v>913.5</v>
      </c>
      <c r="F12" s="10">
        <v>45365.0</v>
      </c>
      <c r="G12" s="5">
        <v>864.0</v>
      </c>
      <c r="M12" s="14" t="s">
        <v>20</v>
      </c>
      <c r="N12" s="18">
        <v>789.5</v>
      </c>
      <c r="O12" s="16">
        <v>517.0</v>
      </c>
      <c r="Q12" s="10">
        <v>45365.0</v>
      </c>
      <c r="R12" s="5">
        <v>864.0</v>
      </c>
    </row>
    <row r="13" ht="22.5" customHeight="1">
      <c r="B13" s="17">
        <v>45722.0</v>
      </c>
      <c r="C13" s="18">
        <v>634.0</v>
      </c>
      <c r="F13" s="10">
        <v>45372.0</v>
      </c>
      <c r="G13" s="5">
        <v>533.0</v>
      </c>
      <c r="Q13" s="10">
        <v>45372.0</v>
      </c>
      <c r="R13" s="5">
        <v>533.0</v>
      </c>
    </row>
    <row r="14" ht="22.5" customHeight="1">
      <c r="B14" s="17">
        <v>45729.0</v>
      </c>
      <c r="C14" s="18">
        <v>388.0</v>
      </c>
      <c r="F14" s="10">
        <v>45379.0</v>
      </c>
      <c r="G14" s="5">
        <v>325.0</v>
      </c>
      <c r="M14" s="6" t="s">
        <v>21</v>
      </c>
      <c r="Q14" s="10">
        <v>45379.0</v>
      </c>
      <c r="R14" s="5">
        <v>325.0</v>
      </c>
    </row>
    <row r="15" ht="22.5" customHeight="1">
      <c r="B15" s="17">
        <v>45736.0</v>
      </c>
      <c r="C15" s="18">
        <v>530.0</v>
      </c>
      <c r="F15" s="10">
        <v>45386.0</v>
      </c>
      <c r="G15" s="5">
        <v>581.0</v>
      </c>
      <c r="N15" s="19"/>
      <c r="Q15" s="10">
        <v>45386.0</v>
      </c>
      <c r="R15" s="5">
        <v>581.0</v>
      </c>
    </row>
    <row r="16" ht="22.5" customHeight="1">
      <c r="B16" s="17">
        <v>45743.0</v>
      </c>
      <c r="C16" s="18">
        <v>540.5</v>
      </c>
      <c r="F16" s="10">
        <v>45393.0</v>
      </c>
      <c r="G16" s="5">
        <v>679.0</v>
      </c>
      <c r="N16" s="19"/>
      <c r="Q16" s="10">
        <v>45393.0</v>
      </c>
      <c r="R16" s="5">
        <v>679.0</v>
      </c>
    </row>
    <row r="17" ht="22.5" customHeight="1">
      <c r="B17" s="17">
        <v>45750.0</v>
      </c>
      <c r="C17" s="18">
        <v>790.0</v>
      </c>
      <c r="F17" s="10">
        <v>45400.0</v>
      </c>
      <c r="G17" s="5">
        <v>743.0</v>
      </c>
      <c r="N17" s="19"/>
      <c r="Q17" s="10">
        <v>45400.0</v>
      </c>
      <c r="R17" s="5">
        <v>743.0</v>
      </c>
    </row>
    <row r="18" ht="22.5" customHeight="1">
      <c r="B18" s="17">
        <v>45757.0</v>
      </c>
      <c r="C18" s="18">
        <v>727.0</v>
      </c>
      <c r="F18" s="10">
        <v>45407.0</v>
      </c>
      <c r="G18" s="5">
        <v>878.0</v>
      </c>
      <c r="N18" s="19"/>
      <c r="Q18" s="10">
        <v>45407.0</v>
      </c>
      <c r="R18" s="5">
        <v>878.0</v>
      </c>
    </row>
    <row r="19" ht="22.5" customHeight="1">
      <c r="B19" s="17">
        <v>45764.0</v>
      </c>
      <c r="C19" s="18">
        <v>1024.0</v>
      </c>
      <c r="F19" s="10">
        <v>45414.0</v>
      </c>
      <c r="G19" s="5">
        <v>586.0</v>
      </c>
      <c r="N19" s="19"/>
      <c r="Q19" s="10">
        <v>45414.0</v>
      </c>
      <c r="R19" s="5">
        <v>586.0</v>
      </c>
    </row>
    <row r="20" ht="22.5" customHeight="1">
      <c r="B20" s="17">
        <v>45771.0</v>
      </c>
      <c r="C20" s="18">
        <v>846.5</v>
      </c>
      <c r="F20" s="10">
        <v>45421.0</v>
      </c>
      <c r="G20" s="5">
        <v>542.0</v>
      </c>
      <c r="N20" s="19"/>
      <c r="Q20" s="10">
        <v>45421.0</v>
      </c>
      <c r="R20" s="5">
        <v>542.0</v>
      </c>
    </row>
    <row r="21" ht="22.5" customHeight="1">
      <c r="B21" s="17">
        <v>45778.0</v>
      </c>
      <c r="C21" s="18">
        <v>618.5</v>
      </c>
      <c r="F21" s="10">
        <v>45428.0</v>
      </c>
      <c r="G21" s="5">
        <v>619.5</v>
      </c>
      <c r="N21" s="19"/>
      <c r="Q21" s="10">
        <v>45428.0</v>
      </c>
      <c r="R21" s="5">
        <v>619.5</v>
      </c>
    </row>
    <row r="22" ht="22.5" customHeight="1">
      <c r="B22" s="17">
        <v>45785.0</v>
      </c>
      <c r="C22" s="18">
        <v>799.0</v>
      </c>
      <c r="F22" s="10">
        <v>45435.0</v>
      </c>
      <c r="G22" s="5">
        <v>1311.5</v>
      </c>
      <c r="N22" s="19"/>
      <c r="Q22" s="10">
        <v>45435.0</v>
      </c>
      <c r="R22" s="5">
        <v>1311.5</v>
      </c>
    </row>
    <row r="23" ht="22.5" customHeight="1">
      <c r="B23" s="17">
        <v>45792.0</v>
      </c>
      <c r="C23" s="18">
        <v>876.0</v>
      </c>
      <c r="F23" s="10">
        <v>45442.0</v>
      </c>
      <c r="G23" s="5">
        <v>484.0</v>
      </c>
      <c r="N23" s="19"/>
      <c r="Q23" s="10">
        <v>45442.0</v>
      </c>
      <c r="R23" s="5">
        <v>484.0</v>
      </c>
    </row>
    <row r="24" ht="22.5" customHeight="1">
      <c r="B24" s="17">
        <v>45799.0</v>
      </c>
      <c r="C24" s="18">
        <v>794.0</v>
      </c>
      <c r="F24" s="10">
        <v>45449.0</v>
      </c>
      <c r="G24" s="5">
        <v>424.0</v>
      </c>
      <c r="N24" s="19"/>
      <c r="Q24" s="10">
        <v>45449.0</v>
      </c>
      <c r="R24" s="5">
        <v>424.0</v>
      </c>
    </row>
    <row r="25" ht="22.5" customHeight="1">
      <c r="B25" s="17">
        <v>45806.0</v>
      </c>
      <c r="C25" s="18">
        <v>585.0</v>
      </c>
      <c r="F25" s="10">
        <v>45456.0</v>
      </c>
      <c r="G25" s="5">
        <v>519.0</v>
      </c>
      <c r="Q25" s="10">
        <v>45456.0</v>
      </c>
      <c r="R25" s="5">
        <v>519.0</v>
      </c>
    </row>
    <row r="26" ht="22.5" customHeight="1">
      <c r="B26" s="17">
        <v>45813.0</v>
      </c>
      <c r="C26" s="18">
        <v>573.0</v>
      </c>
      <c r="F26" s="10">
        <v>45463.0</v>
      </c>
      <c r="G26" s="5">
        <v>264.0</v>
      </c>
      <c r="Q26" s="10">
        <v>45463.0</v>
      </c>
      <c r="R26" s="5">
        <v>264.0</v>
      </c>
    </row>
    <row r="27" ht="22.5" customHeight="1">
      <c r="B27" s="17">
        <v>45820.0</v>
      </c>
      <c r="C27" s="18">
        <v>820.5</v>
      </c>
      <c r="F27" s="10">
        <v>45470.0</v>
      </c>
      <c r="G27" s="5">
        <v>313.5</v>
      </c>
      <c r="Q27" s="10">
        <v>45470.0</v>
      </c>
      <c r="R27" s="5">
        <v>313.5</v>
      </c>
    </row>
    <row r="28" ht="22.5" customHeight="1">
      <c r="B28" s="17">
        <v>45827.0</v>
      </c>
      <c r="C28" s="18">
        <v>564.0</v>
      </c>
      <c r="F28" s="10">
        <v>45477.0</v>
      </c>
      <c r="G28" s="5">
        <v>477.5</v>
      </c>
      <c r="Q28" s="10">
        <v>45477.0</v>
      </c>
      <c r="R28" s="5">
        <v>477.5</v>
      </c>
    </row>
    <row r="29" ht="22.5" customHeight="1">
      <c r="B29" s="17">
        <v>45834.0</v>
      </c>
      <c r="C29" s="18">
        <v>860.5</v>
      </c>
      <c r="F29" s="10">
        <v>45484.0</v>
      </c>
      <c r="G29" s="5">
        <v>174.0</v>
      </c>
      <c r="Q29" s="10">
        <v>45484.0</v>
      </c>
      <c r="R29" s="5">
        <v>174.0</v>
      </c>
    </row>
    <row r="30" ht="22.5" customHeight="1">
      <c r="B30" s="17">
        <v>45841.0</v>
      </c>
      <c r="C30" s="18">
        <v>653.0</v>
      </c>
      <c r="F30" s="10">
        <v>45491.0</v>
      </c>
      <c r="G30" s="5">
        <v>459.0</v>
      </c>
      <c r="Q30" s="10">
        <v>45491.0</v>
      </c>
      <c r="R30" s="5">
        <v>459.0</v>
      </c>
    </row>
    <row r="31" ht="22.5" customHeight="1">
      <c r="B31" s="17">
        <v>45848.0</v>
      </c>
      <c r="C31" s="18">
        <v>472.5</v>
      </c>
      <c r="F31" s="10">
        <v>45498.0</v>
      </c>
      <c r="G31" s="5">
        <v>291.0</v>
      </c>
      <c r="Q31" s="10">
        <v>45498.0</v>
      </c>
      <c r="R31" s="5">
        <v>291.0</v>
      </c>
    </row>
    <row r="32" ht="22.5" customHeight="1">
      <c r="B32" s="17">
        <v>45855.0</v>
      </c>
      <c r="C32" s="18">
        <v>484.0</v>
      </c>
      <c r="F32" s="10">
        <v>45505.0</v>
      </c>
      <c r="G32" s="5">
        <v>515.5</v>
      </c>
      <c r="Q32" s="10">
        <v>45505.0</v>
      </c>
      <c r="R32" s="5">
        <v>515.5</v>
      </c>
    </row>
    <row r="33" ht="22.5" customHeight="1">
      <c r="B33" s="17">
        <v>45862.0</v>
      </c>
      <c r="C33" s="18">
        <v>780.5</v>
      </c>
      <c r="F33" s="10">
        <v>45512.0</v>
      </c>
      <c r="G33" s="5">
        <v>395.5</v>
      </c>
      <c r="Q33" s="10">
        <v>45512.0</v>
      </c>
      <c r="R33" s="5">
        <v>395.5</v>
      </c>
    </row>
    <row r="34" ht="22.5" customHeight="1">
      <c r="B34" s="17">
        <v>45869.0</v>
      </c>
      <c r="C34" s="18">
        <v>672.0</v>
      </c>
      <c r="F34" s="10">
        <v>45519.0</v>
      </c>
      <c r="G34" s="5">
        <v>432.0</v>
      </c>
      <c r="Q34" s="10">
        <v>45519.0</v>
      </c>
      <c r="R34" s="5">
        <v>432.0</v>
      </c>
    </row>
    <row r="35" ht="22.5" customHeight="1">
      <c r="B35" s="17">
        <v>45876.0</v>
      </c>
      <c r="C35" s="18">
        <v>384.5</v>
      </c>
      <c r="F35" s="10">
        <v>45526.0</v>
      </c>
      <c r="G35" s="5">
        <v>321.0</v>
      </c>
      <c r="Q35" s="10">
        <v>45526.0</v>
      </c>
      <c r="R35" s="5">
        <v>321.0</v>
      </c>
    </row>
    <row r="36" ht="22.5" customHeight="1">
      <c r="B36" s="17">
        <v>45883.0</v>
      </c>
      <c r="C36" s="18">
        <v>617.0</v>
      </c>
      <c r="F36" s="10">
        <v>45533.0</v>
      </c>
      <c r="G36" s="5">
        <v>367.5</v>
      </c>
      <c r="Q36" s="10">
        <v>45533.0</v>
      </c>
      <c r="R36" s="5">
        <v>367.5</v>
      </c>
    </row>
    <row r="37" ht="22.5" customHeight="1">
      <c r="B37" s="17">
        <v>45890.0</v>
      </c>
      <c r="C37" s="18">
        <v>560.5</v>
      </c>
      <c r="F37" s="10">
        <v>45540.0</v>
      </c>
      <c r="G37" s="5">
        <v>732.5</v>
      </c>
      <c r="Q37" s="10">
        <v>45540.0</v>
      </c>
      <c r="R37" s="5">
        <v>732.5</v>
      </c>
    </row>
    <row r="38" ht="22.5" customHeight="1">
      <c r="B38" s="17">
        <v>45897.0</v>
      </c>
      <c r="C38" s="18">
        <v>625.5</v>
      </c>
      <c r="F38" s="10">
        <v>45547.0</v>
      </c>
      <c r="G38" s="5">
        <v>576.0</v>
      </c>
      <c r="Q38" s="10">
        <v>45547.0</v>
      </c>
      <c r="R38" s="5">
        <v>576.0</v>
      </c>
    </row>
    <row r="39" ht="22.5" customHeight="1">
      <c r="B39" s="17">
        <v>45904.0</v>
      </c>
      <c r="C39" s="18">
        <v>284.0</v>
      </c>
      <c r="F39" s="10">
        <v>45554.0</v>
      </c>
      <c r="G39" s="5">
        <v>433.5</v>
      </c>
      <c r="Q39" s="10">
        <v>45554.0</v>
      </c>
      <c r="R39" s="5">
        <v>433.5</v>
      </c>
    </row>
    <row r="40" ht="22.5" customHeight="1">
      <c r="B40" s="17">
        <v>45911.0</v>
      </c>
      <c r="C40" s="18">
        <v>585.0</v>
      </c>
      <c r="F40" s="10">
        <v>45561.0</v>
      </c>
      <c r="G40" s="5">
        <v>817.5</v>
      </c>
      <c r="Q40" s="10">
        <v>45561.0</v>
      </c>
      <c r="R40" s="5">
        <v>817.5</v>
      </c>
    </row>
    <row r="41" ht="22.5" customHeight="1">
      <c r="B41" s="17">
        <v>45918.0</v>
      </c>
      <c r="C41" s="18">
        <v>506.0</v>
      </c>
      <c r="F41" s="10">
        <v>45568.0</v>
      </c>
      <c r="G41" s="5">
        <v>517.0</v>
      </c>
      <c r="Q41" s="10">
        <v>45568.0</v>
      </c>
      <c r="R41" s="5">
        <v>517.0</v>
      </c>
    </row>
    <row r="42" ht="22.5" customHeight="1">
      <c r="B42" s="17">
        <v>45925.0</v>
      </c>
      <c r="C42" s="18">
        <v>402.5</v>
      </c>
      <c r="Q42" s="20"/>
    </row>
    <row r="43" ht="22.5" customHeight="1">
      <c r="B43" s="17">
        <v>45932.0</v>
      </c>
      <c r="C43" s="18">
        <v>789.5</v>
      </c>
    </row>
    <row r="46" ht="22.5" customHeight="1">
      <c r="D46" s="2" t="s">
        <v>3</v>
      </c>
      <c r="E46" s="3"/>
      <c r="G46" s="6" t="s">
        <v>22</v>
      </c>
      <c r="H46" s="7"/>
      <c r="J46" s="13" t="s">
        <v>9</v>
      </c>
      <c r="K46" s="13" t="s">
        <v>10</v>
      </c>
      <c r="M46" s="6" t="s">
        <v>23</v>
      </c>
      <c r="N46" s="7"/>
      <c r="Q46" s="6" t="s">
        <v>24</v>
      </c>
    </row>
    <row r="47" ht="22.5" customHeight="1">
      <c r="D47" s="6" t="s">
        <v>9</v>
      </c>
      <c r="E47" s="5" t="s">
        <v>25</v>
      </c>
      <c r="G47" s="21"/>
      <c r="H47" s="22"/>
      <c r="J47" s="17">
        <v>45659.0</v>
      </c>
      <c r="K47" s="18">
        <v>493.5</v>
      </c>
      <c r="M47" s="23" t="s">
        <v>9</v>
      </c>
      <c r="N47" s="24" t="s">
        <v>26</v>
      </c>
      <c r="Q47" s="6" t="s">
        <v>6</v>
      </c>
      <c r="R47" s="6" t="s">
        <v>7</v>
      </c>
      <c r="S47" s="25" t="s">
        <v>8</v>
      </c>
    </row>
    <row r="48" ht="22.5" customHeight="1">
      <c r="D48" s="4">
        <v>45297.0</v>
      </c>
      <c r="E48" s="5">
        <v>362.0</v>
      </c>
      <c r="G48" s="23" t="s">
        <v>9</v>
      </c>
      <c r="H48" s="24" t="s">
        <v>26</v>
      </c>
      <c r="J48" s="17">
        <v>45666.0</v>
      </c>
      <c r="K48" s="18">
        <v>520.5</v>
      </c>
      <c r="M48" s="26">
        <v>45659.0</v>
      </c>
      <c r="N48" s="27">
        <v>2285.5</v>
      </c>
      <c r="Q48" s="6" t="s">
        <v>11</v>
      </c>
      <c r="R48" s="5">
        <v>2751.5</v>
      </c>
      <c r="S48" s="19">
        <v>1379.5</v>
      </c>
      <c r="U48" s="28">
        <f t="shared" ref="U48:U57" si="1">R48/R61</f>
        <v>0.2728444643</v>
      </c>
    </row>
    <row r="49" ht="22.5" customHeight="1">
      <c r="D49" s="4">
        <v>45304.0</v>
      </c>
      <c r="E49" s="5">
        <v>488.5</v>
      </c>
      <c r="G49" s="26">
        <v>45297.0</v>
      </c>
      <c r="H49" s="27">
        <v>1323.5</v>
      </c>
      <c r="J49" s="17">
        <v>45673.0</v>
      </c>
      <c r="K49" s="18">
        <v>601.0</v>
      </c>
      <c r="M49" s="29">
        <v>45666.0</v>
      </c>
      <c r="N49" s="30">
        <v>1583.5</v>
      </c>
      <c r="Q49" s="6" t="s">
        <v>12</v>
      </c>
      <c r="R49" s="5">
        <v>3002.5</v>
      </c>
      <c r="S49" s="19">
        <v>2575.0</v>
      </c>
      <c r="U49" s="28">
        <f t="shared" si="1"/>
        <v>0.4229171068</v>
      </c>
    </row>
    <row r="50" ht="22.5" customHeight="1">
      <c r="D50" s="4">
        <v>45311.0</v>
      </c>
      <c r="E50" s="5">
        <v>564.5</v>
      </c>
      <c r="G50" s="29">
        <v>45304.0</v>
      </c>
      <c r="H50" s="30">
        <v>1120.0</v>
      </c>
      <c r="J50" s="17">
        <v>45680.0</v>
      </c>
      <c r="K50" s="18">
        <v>682.5</v>
      </c>
      <c r="M50" s="26">
        <v>45673.0</v>
      </c>
      <c r="N50" s="27">
        <v>1272.5</v>
      </c>
      <c r="Q50" s="6" t="s">
        <v>13</v>
      </c>
      <c r="R50" s="5">
        <v>2092.5</v>
      </c>
      <c r="S50" s="19">
        <v>2234.0</v>
      </c>
      <c r="U50" s="28">
        <f t="shared" si="1"/>
        <v>0.2495081381</v>
      </c>
    </row>
    <row r="51" ht="22.5" customHeight="1">
      <c r="D51" s="4">
        <v>45318.0</v>
      </c>
      <c r="E51" s="5">
        <v>565.5</v>
      </c>
      <c r="G51" s="26">
        <v>45311.0</v>
      </c>
      <c r="H51" s="27">
        <v>1709.5</v>
      </c>
      <c r="J51" s="17">
        <v>45687.0</v>
      </c>
      <c r="K51" s="18">
        <v>454.0</v>
      </c>
      <c r="M51" s="29">
        <v>45680.0</v>
      </c>
      <c r="N51" s="30">
        <v>1887.5</v>
      </c>
      <c r="Q51" s="6" t="s">
        <v>14</v>
      </c>
      <c r="R51" s="5">
        <v>3387.5</v>
      </c>
      <c r="S51" s="19">
        <v>2881.0</v>
      </c>
      <c r="U51" s="28">
        <f t="shared" si="1"/>
        <v>0.3590925955</v>
      </c>
    </row>
    <row r="52" ht="22.5" customHeight="1">
      <c r="D52" s="4">
        <v>45325.0</v>
      </c>
      <c r="E52" s="5">
        <v>621.5</v>
      </c>
      <c r="G52" s="29">
        <v>45318.0</v>
      </c>
      <c r="H52" s="30">
        <v>1726.0</v>
      </c>
      <c r="J52" s="17">
        <v>45694.0</v>
      </c>
      <c r="K52" s="18">
        <v>448.5</v>
      </c>
      <c r="M52" s="26">
        <v>45687.0</v>
      </c>
      <c r="N52" s="27">
        <v>3055.5</v>
      </c>
      <c r="Q52" s="6" t="s">
        <v>15</v>
      </c>
      <c r="R52" s="5">
        <v>3672.5</v>
      </c>
      <c r="S52" s="19">
        <v>3543.0</v>
      </c>
      <c r="U52" s="28">
        <f t="shared" si="1"/>
        <v>0.4112772272</v>
      </c>
    </row>
    <row r="53" ht="22.5" customHeight="1">
      <c r="D53" s="4">
        <v>45332.0</v>
      </c>
      <c r="E53" s="5">
        <v>516.5</v>
      </c>
      <c r="G53" s="26">
        <v>45325.0</v>
      </c>
      <c r="H53" s="27">
        <v>1837.5</v>
      </c>
      <c r="J53" s="17">
        <v>45701.0</v>
      </c>
      <c r="K53" s="18">
        <v>786.0</v>
      </c>
      <c r="M53" s="29">
        <v>45694.0</v>
      </c>
      <c r="N53" s="30">
        <v>1289.0</v>
      </c>
      <c r="Q53" s="6" t="s">
        <v>16</v>
      </c>
      <c r="R53" s="5">
        <v>2818.0</v>
      </c>
      <c r="S53" s="19">
        <v>1520.5</v>
      </c>
      <c r="U53" s="28">
        <f t="shared" si="1"/>
        <v>0.4409325614</v>
      </c>
    </row>
    <row r="54" ht="22.5" customHeight="1">
      <c r="D54" s="4">
        <v>45339.0</v>
      </c>
      <c r="E54" s="5">
        <v>1247.0</v>
      </c>
      <c r="G54" s="29">
        <v>45332.0</v>
      </c>
      <c r="H54" s="30">
        <v>1803.5</v>
      </c>
      <c r="J54" s="17">
        <v>45708.0</v>
      </c>
      <c r="K54" s="18">
        <v>854.5</v>
      </c>
      <c r="M54" s="26">
        <v>45701.0</v>
      </c>
      <c r="N54" s="27">
        <v>1727.0</v>
      </c>
      <c r="Q54" s="6" t="s">
        <v>17</v>
      </c>
      <c r="R54" s="5">
        <v>3062.0</v>
      </c>
      <c r="S54" s="19">
        <v>1401.5</v>
      </c>
      <c r="U54" s="28">
        <f t="shared" si="1"/>
        <v>0.4136999257</v>
      </c>
    </row>
    <row r="55" ht="22.5" customHeight="1">
      <c r="D55" s="4">
        <v>45346.0</v>
      </c>
      <c r="E55" s="5">
        <v>549.0</v>
      </c>
      <c r="G55" s="26">
        <v>45339.0</v>
      </c>
      <c r="H55" s="27">
        <v>3429.5</v>
      </c>
      <c r="J55" s="17">
        <v>45715.0</v>
      </c>
      <c r="K55" s="18">
        <v>913.5</v>
      </c>
      <c r="M55" s="29">
        <v>45708.0</v>
      </c>
      <c r="N55" s="30">
        <v>2075.0</v>
      </c>
      <c r="Q55" s="6" t="s">
        <v>18</v>
      </c>
      <c r="R55" s="5">
        <v>2187.5</v>
      </c>
      <c r="S55" s="19">
        <v>2031.5</v>
      </c>
      <c r="U55" s="28">
        <f t="shared" si="1"/>
        <v>0.3598157743</v>
      </c>
    </row>
    <row r="56" ht="22.5" customHeight="1">
      <c r="D56" s="4">
        <v>45353.0</v>
      </c>
      <c r="E56" s="5">
        <v>923.5</v>
      </c>
      <c r="G56" s="29">
        <v>45346.0</v>
      </c>
      <c r="H56" s="30">
        <v>2480.5</v>
      </c>
      <c r="J56" s="17">
        <v>45722.0</v>
      </c>
      <c r="K56" s="18">
        <v>634.0</v>
      </c>
      <c r="M56" s="26">
        <v>45715.0</v>
      </c>
      <c r="N56" s="27">
        <v>2008.5</v>
      </c>
      <c r="Q56" s="6" t="s">
        <v>19</v>
      </c>
      <c r="R56" s="5">
        <v>1777.5</v>
      </c>
      <c r="S56" s="19">
        <v>2559.5</v>
      </c>
      <c r="U56" s="28">
        <f t="shared" si="1"/>
        <v>0.3164218959</v>
      </c>
    </row>
    <row r="57" ht="22.5" customHeight="1">
      <c r="D57" s="4">
        <v>45360.0</v>
      </c>
      <c r="E57" s="5">
        <v>743.5</v>
      </c>
      <c r="G57" s="26">
        <v>45353.0</v>
      </c>
      <c r="H57" s="27">
        <v>2368.0</v>
      </c>
      <c r="J57" s="17">
        <v>45729.0</v>
      </c>
      <c r="K57" s="18">
        <v>388.0</v>
      </c>
      <c r="M57" s="29">
        <v>45722.0</v>
      </c>
      <c r="N57" s="30">
        <v>1692.5</v>
      </c>
      <c r="Q57" s="6" t="s">
        <v>20</v>
      </c>
      <c r="R57" s="5">
        <v>789.5</v>
      </c>
      <c r="S57" s="19">
        <v>517.0</v>
      </c>
      <c r="U57" s="28">
        <f t="shared" si="1"/>
        <v>0.1743787962</v>
      </c>
    </row>
    <row r="58" ht="22.5" customHeight="1">
      <c r="D58" s="4">
        <v>45367.0</v>
      </c>
      <c r="E58" s="5">
        <v>761.0</v>
      </c>
      <c r="G58" s="29">
        <v>45360.0</v>
      </c>
      <c r="H58" s="30">
        <v>2732.5</v>
      </c>
      <c r="J58" s="17">
        <v>45736.0</v>
      </c>
      <c r="K58" s="18">
        <v>530.0</v>
      </c>
      <c r="M58" s="26">
        <v>45729.0</v>
      </c>
      <c r="N58" s="27">
        <v>2188.5</v>
      </c>
    </row>
    <row r="59" ht="22.5" customHeight="1">
      <c r="D59" s="4">
        <v>45374.0</v>
      </c>
      <c r="E59" s="5">
        <v>1183.5</v>
      </c>
      <c r="G59" s="26">
        <v>45367.0</v>
      </c>
      <c r="H59" s="27">
        <v>2482.5</v>
      </c>
      <c r="J59" s="17">
        <v>45743.0</v>
      </c>
      <c r="K59" s="18">
        <v>540.5</v>
      </c>
      <c r="M59" s="29">
        <v>45736.0</v>
      </c>
      <c r="N59" s="30">
        <v>1936.0</v>
      </c>
    </row>
    <row r="60" ht="22.5" customHeight="1">
      <c r="D60" s="4">
        <v>45381.0</v>
      </c>
      <c r="E60" s="5">
        <v>659.0</v>
      </c>
      <c r="G60" s="29">
        <v>45374.0</v>
      </c>
      <c r="H60" s="30">
        <v>2613.0</v>
      </c>
      <c r="J60" s="17">
        <v>45750.0</v>
      </c>
      <c r="K60" s="18">
        <v>790.0</v>
      </c>
      <c r="M60" s="26">
        <v>45743.0</v>
      </c>
      <c r="N60" s="27">
        <v>2569.5</v>
      </c>
      <c r="Q60" s="6" t="s">
        <v>27</v>
      </c>
    </row>
    <row r="61" ht="22.5" customHeight="1">
      <c r="D61" s="4">
        <v>45388.0</v>
      </c>
      <c r="E61" s="5">
        <v>1266.0</v>
      </c>
      <c r="G61" s="26">
        <v>45381.0</v>
      </c>
      <c r="H61" s="27">
        <v>2321.0</v>
      </c>
      <c r="J61" s="17">
        <v>45757.0</v>
      </c>
      <c r="K61" s="18">
        <v>727.0</v>
      </c>
      <c r="M61" s="29">
        <v>45750.0</v>
      </c>
      <c r="N61" s="30">
        <v>2116.5</v>
      </c>
      <c r="Q61" s="6" t="s">
        <v>11</v>
      </c>
      <c r="R61" s="7">
        <f>SUM('Trivia Nights Sales Data'!N48:N52)</f>
        <v>10084.5</v>
      </c>
      <c r="S61" s="7">
        <v>5879.0</v>
      </c>
    </row>
    <row r="62" ht="22.5" customHeight="1">
      <c r="D62" s="4">
        <v>45395.0</v>
      </c>
      <c r="E62" s="5">
        <v>580.0</v>
      </c>
      <c r="G62" s="29">
        <v>45388.0</v>
      </c>
      <c r="H62" s="30">
        <v>2635.5</v>
      </c>
      <c r="J62" s="17">
        <v>45764.0</v>
      </c>
      <c r="K62" s="18">
        <v>1024.0</v>
      </c>
      <c r="M62" s="26">
        <v>45757.0</v>
      </c>
      <c r="N62" s="27">
        <v>2337.0</v>
      </c>
      <c r="Q62" s="6" t="s">
        <v>12</v>
      </c>
      <c r="R62" s="7">
        <f>SUM('Trivia Nights Sales Data'!N53:N56)</f>
        <v>7099.5</v>
      </c>
      <c r="S62" s="7">
        <v>9551.0</v>
      </c>
    </row>
    <row r="63" ht="22.5" customHeight="1">
      <c r="D63" s="4">
        <v>45402.0</v>
      </c>
      <c r="E63" s="5">
        <v>1011.5</v>
      </c>
      <c r="G63" s="26">
        <v>45395.0</v>
      </c>
      <c r="H63" s="27">
        <v>2321.0</v>
      </c>
      <c r="J63" s="17">
        <v>45771.0</v>
      </c>
      <c r="K63" s="18">
        <v>846.5</v>
      </c>
      <c r="M63" s="29">
        <v>45764.0</v>
      </c>
      <c r="N63" s="30">
        <v>2369.5</v>
      </c>
      <c r="Q63" s="6" t="s">
        <v>13</v>
      </c>
      <c r="R63" s="7">
        <f>SUM('Trivia Nights Sales Data'!N57:N60)</f>
        <v>8386.5</v>
      </c>
      <c r="S63" s="7">
        <v>12517.0</v>
      </c>
    </row>
    <row r="64" ht="22.5" customHeight="1">
      <c r="D64" s="4">
        <v>45409.0</v>
      </c>
      <c r="E64" s="5">
        <v>920.5</v>
      </c>
      <c r="G64" s="29">
        <v>45402.0</v>
      </c>
      <c r="H64" s="30">
        <v>2657.5</v>
      </c>
      <c r="J64" s="17">
        <v>45778.0</v>
      </c>
      <c r="K64" s="18">
        <v>618.5</v>
      </c>
      <c r="M64" s="26">
        <v>45771.0</v>
      </c>
      <c r="N64" s="27">
        <v>2610.5</v>
      </c>
      <c r="Q64" s="6" t="s">
        <v>14</v>
      </c>
      <c r="R64" s="7">
        <f>SUM('Trivia Nights Sales Data'!N61:N64)</f>
        <v>9433.5</v>
      </c>
      <c r="S64" s="7">
        <v>10421.0</v>
      </c>
    </row>
    <row r="65" ht="22.5" customHeight="1">
      <c r="D65" s="4">
        <v>45416.0</v>
      </c>
      <c r="E65" s="5">
        <v>766.5</v>
      </c>
      <c r="G65" s="26">
        <v>45409.0</v>
      </c>
      <c r="H65" s="27">
        <v>2807.0</v>
      </c>
      <c r="J65" s="17">
        <v>45785.0</v>
      </c>
      <c r="K65" s="18">
        <v>799.0</v>
      </c>
      <c r="M65" s="29">
        <v>45778.0</v>
      </c>
      <c r="N65" s="30">
        <v>2116.5</v>
      </c>
      <c r="Q65" s="6" t="s">
        <v>15</v>
      </c>
      <c r="R65" s="7">
        <f>SUM('Trivia Nights Sales Data'!N65:N69)</f>
        <v>8929.5</v>
      </c>
      <c r="S65" s="7">
        <v>10685.25</v>
      </c>
    </row>
    <row r="66" ht="22.5" customHeight="1">
      <c r="D66" s="4">
        <v>45423.0</v>
      </c>
      <c r="E66" s="5">
        <v>1076.0</v>
      </c>
      <c r="G66" s="29">
        <v>45416.0</v>
      </c>
      <c r="H66" s="30">
        <v>2198.5</v>
      </c>
      <c r="J66" s="17">
        <v>45792.0</v>
      </c>
      <c r="K66" s="18">
        <v>876.0</v>
      </c>
      <c r="M66" s="26">
        <v>45785.0</v>
      </c>
      <c r="N66" s="27">
        <v>2053.0</v>
      </c>
      <c r="Q66" s="6" t="s">
        <v>16</v>
      </c>
      <c r="R66" s="7">
        <f>SUM('Trivia Nights Sales Data'!N70:N73)</f>
        <v>6391</v>
      </c>
      <c r="S66" s="7">
        <v>8737.0</v>
      </c>
    </row>
    <row r="67" ht="22.5" customHeight="1">
      <c r="D67" s="4">
        <v>45430.0</v>
      </c>
      <c r="E67" s="5">
        <v>1154.0</v>
      </c>
      <c r="G67" s="26">
        <v>45423.0</v>
      </c>
      <c r="H67" s="27">
        <v>3254.5</v>
      </c>
      <c r="J67" s="17">
        <v>45799.0</v>
      </c>
      <c r="K67" s="18">
        <v>794.0</v>
      </c>
      <c r="M67" s="29">
        <v>45792.0</v>
      </c>
      <c r="N67" s="30">
        <v>1668.5</v>
      </c>
      <c r="Q67" s="6" t="s">
        <v>17</v>
      </c>
      <c r="R67" s="7">
        <f>SUM('Trivia Nights Sales Data'!N74:N78)</f>
        <v>7401.5</v>
      </c>
      <c r="S67" s="7">
        <v>7342.0</v>
      </c>
    </row>
    <row r="68" ht="22.5" customHeight="1">
      <c r="D68" s="4">
        <v>45437.0</v>
      </c>
      <c r="E68" s="5">
        <v>793.5</v>
      </c>
      <c r="G68" s="29">
        <v>45430.0</v>
      </c>
      <c r="H68" s="30">
        <v>2277.25</v>
      </c>
      <c r="J68" s="17">
        <v>45806.0</v>
      </c>
      <c r="K68" s="18">
        <v>585.0</v>
      </c>
      <c r="M68" s="26">
        <v>45799.0</v>
      </c>
      <c r="N68" s="27">
        <v>1643.5</v>
      </c>
      <c r="Q68" s="6" t="s">
        <v>18</v>
      </c>
      <c r="R68" s="7">
        <f>SUM('Trivia Nights Sales Data'!N79:N82)</f>
        <v>6079.5</v>
      </c>
      <c r="S68" s="7">
        <v>9437.0</v>
      </c>
    </row>
    <row r="69" ht="22.5" customHeight="1">
      <c r="D69" s="4">
        <v>45444.0</v>
      </c>
      <c r="E69" s="5">
        <v>768.0</v>
      </c>
      <c r="G69" s="26">
        <v>45437.0</v>
      </c>
      <c r="H69" s="27">
        <v>2955.0</v>
      </c>
      <c r="J69" s="17">
        <v>45813.0</v>
      </c>
      <c r="K69" s="18">
        <v>573.0</v>
      </c>
      <c r="M69" s="29">
        <v>45806.0</v>
      </c>
      <c r="N69" s="30">
        <v>1448.0</v>
      </c>
      <c r="Q69" s="6" t="s">
        <v>19</v>
      </c>
      <c r="R69" s="7">
        <f>SUM('Trivia Nights Sales Data'!N83:N86)</f>
        <v>5617.5</v>
      </c>
      <c r="S69" s="7">
        <v>7978.0</v>
      </c>
    </row>
    <row r="70" ht="22.5" customHeight="1">
      <c r="D70" s="4">
        <v>45451.0</v>
      </c>
      <c r="E70" s="5">
        <v>624.0</v>
      </c>
      <c r="G70" s="29">
        <v>45444.0</v>
      </c>
      <c r="H70" s="30">
        <v>2058.0</v>
      </c>
      <c r="J70" s="17">
        <v>45820.0</v>
      </c>
      <c r="K70" s="18">
        <v>820.5</v>
      </c>
      <c r="M70" s="26">
        <v>45813.0</v>
      </c>
      <c r="N70" s="27">
        <v>1452.5</v>
      </c>
      <c r="Q70" s="6" t="s">
        <v>20</v>
      </c>
      <c r="R70" s="7">
        <f>SUM('Trivia Nights Sales Data'!N87:N89)</f>
        <v>4527.5</v>
      </c>
      <c r="S70" s="7">
        <v>2388.0</v>
      </c>
    </row>
    <row r="71" ht="22.5" customHeight="1">
      <c r="D71" s="4">
        <v>45458.0</v>
      </c>
      <c r="E71" s="5">
        <v>218.5</v>
      </c>
      <c r="G71" s="26">
        <v>45451.0</v>
      </c>
      <c r="H71" s="27">
        <v>1864.5</v>
      </c>
      <c r="J71" s="17">
        <v>45827.0</v>
      </c>
      <c r="K71" s="18">
        <v>564.0</v>
      </c>
      <c r="M71" s="29">
        <v>45820.0</v>
      </c>
      <c r="N71" s="30">
        <v>1418.5</v>
      </c>
    </row>
    <row r="72" ht="22.5" customHeight="1">
      <c r="D72" s="4">
        <v>45465.0</v>
      </c>
      <c r="E72" s="5">
        <v>581.0</v>
      </c>
      <c r="G72" s="29">
        <v>45458.0</v>
      </c>
      <c r="H72" s="30">
        <v>1422.0</v>
      </c>
      <c r="J72" s="17">
        <v>45834.0</v>
      </c>
      <c r="K72" s="18">
        <v>860.5</v>
      </c>
      <c r="M72" s="26">
        <v>45827.0</v>
      </c>
      <c r="N72" s="27">
        <v>1504.0</v>
      </c>
    </row>
    <row r="73" ht="22.5" customHeight="1">
      <c r="D73" s="4">
        <v>45472.0</v>
      </c>
      <c r="E73" s="5">
        <v>581.0</v>
      </c>
      <c r="G73" s="26">
        <v>45465.0</v>
      </c>
      <c r="H73" s="27">
        <v>1729.0</v>
      </c>
      <c r="J73" s="17">
        <v>45841.0</v>
      </c>
      <c r="K73" s="18">
        <v>653.0</v>
      </c>
      <c r="M73" s="29">
        <v>45834.0</v>
      </c>
      <c r="N73" s="30">
        <v>2016.0</v>
      </c>
    </row>
    <row r="74" ht="22.5" customHeight="1">
      <c r="D74" s="4">
        <v>45479.0</v>
      </c>
      <c r="E74" s="5">
        <v>522.5</v>
      </c>
      <c r="G74" s="29">
        <v>45472.0</v>
      </c>
      <c r="H74" s="30">
        <v>1663.5</v>
      </c>
      <c r="J74" s="17">
        <v>45848.0</v>
      </c>
      <c r="K74" s="18">
        <v>472.5</v>
      </c>
      <c r="M74" s="26">
        <v>45841.0</v>
      </c>
      <c r="N74" s="27">
        <v>2222.0</v>
      </c>
    </row>
    <row r="75" ht="22.5" customHeight="1">
      <c r="D75" s="4">
        <v>45486.0</v>
      </c>
      <c r="E75" s="5">
        <v>417.5</v>
      </c>
      <c r="G75" s="26">
        <v>45479.0</v>
      </c>
      <c r="H75" s="27">
        <v>2092.0</v>
      </c>
      <c r="J75" s="17">
        <v>45855.0</v>
      </c>
      <c r="K75" s="18">
        <v>484.0</v>
      </c>
      <c r="M75" s="29">
        <v>45848.0</v>
      </c>
      <c r="N75" s="30">
        <v>970.5</v>
      </c>
    </row>
    <row r="76" ht="22.5" customHeight="1">
      <c r="D76" s="4">
        <v>45493.0</v>
      </c>
      <c r="E76" s="5">
        <v>543.0</v>
      </c>
      <c r="G76" s="29">
        <v>45486.0</v>
      </c>
      <c r="H76" s="30">
        <v>1209.5</v>
      </c>
      <c r="J76" s="17">
        <v>45862.0</v>
      </c>
      <c r="K76" s="18">
        <v>780.5</v>
      </c>
      <c r="M76" s="26">
        <v>45855.0</v>
      </c>
      <c r="N76" s="27">
        <v>1172.0</v>
      </c>
    </row>
    <row r="77" ht="22.5" customHeight="1">
      <c r="D77" s="4">
        <v>45500.0</v>
      </c>
      <c r="E77" s="5">
        <v>706.5</v>
      </c>
      <c r="G77" s="26">
        <v>45493.0</v>
      </c>
      <c r="H77" s="27">
        <v>1967.5</v>
      </c>
      <c r="J77" s="17">
        <v>45869.0</v>
      </c>
      <c r="K77" s="18">
        <v>672.0</v>
      </c>
      <c r="M77" s="29">
        <v>45862.0</v>
      </c>
      <c r="N77" s="30">
        <v>1652.5</v>
      </c>
    </row>
    <row r="78" ht="22.5" customHeight="1">
      <c r="D78" s="4">
        <v>45507.0</v>
      </c>
      <c r="E78" s="5">
        <v>488.0</v>
      </c>
      <c r="G78" s="29">
        <v>45500.0</v>
      </c>
      <c r="H78" s="30">
        <v>2073.0</v>
      </c>
      <c r="J78" s="17">
        <v>45876.0</v>
      </c>
      <c r="K78" s="18">
        <v>384.5</v>
      </c>
      <c r="M78" s="26">
        <v>45869.0</v>
      </c>
      <c r="N78" s="27">
        <v>1384.5</v>
      </c>
    </row>
    <row r="79" ht="22.5" customHeight="1">
      <c r="D79" s="4">
        <v>45514.0</v>
      </c>
      <c r="E79" s="5">
        <v>986.5</v>
      </c>
      <c r="G79" s="26">
        <v>45507.0</v>
      </c>
      <c r="H79" s="27">
        <v>1175.5</v>
      </c>
      <c r="J79" s="17">
        <v>45883.0</v>
      </c>
      <c r="K79" s="18">
        <v>617.0</v>
      </c>
      <c r="M79" s="29">
        <v>45876.0</v>
      </c>
      <c r="N79" s="30">
        <v>1573.5</v>
      </c>
    </row>
    <row r="80" ht="22.5" customHeight="1">
      <c r="D80" s="4">
        <v>45521.0</v>
      </c>
      <c r="E80" s="5">
        <v>414.5</v>
      </c>
      <c r="G80" s="29">
        <v>45514.0</v>
      </c>
      <c r="H80" s="30">
        <v>1908.5</v>
      </c>
      <c r="J80" s="17">
        <v>45890.0</v>
      </c>
      <c r="K80" s="18">
        <v>560.5</v>
      </c>
      <c r="M80" s="26">
        <v>45883.0</v>
      </c>
      <c r="N80" s="27">
        <v>1452.5</v>
      </c>
    </row>
    <row r="81" ht="22.5" customHeight="1">
      <c r="D81" s="4">
        <v>45528.0</v>
      </c>
      <c r="E81" s="5">
        <v>505.5</v>
      </c>
      <c r="G81" s="26">
        <v>45521.0</v>
      </c>
      <c r="H81" s="27">
        <v>1751.0</v>
      </c>
      <c r="J81" s="17">
        <v>45897.0</v>
      </c>
      <c r="K81" s="18">
        <v>625.5</v>
      </c>
      <c r="M81" s="29">
        <v>45890.0</v>
      </c>
      <c r="N81" s="30">
        <v>1246.0</v>
      </c>
    </row>
    <row r="82" ht="22.5" customHeight="1">
      <c r="D82" s="4">
        <v>45535.0</v>
      </c>
      <c r="E82" s="5">
        <v>1366.0</v>
      </c>
      <c r="G82" s="29">
        <v>45528.0</v>
      </c>
      <c r="H82" s="30">
        <v>1623.0</v>
      </c>
      <c r="J82" s="17">
        <v>45904.0</v>
      </c>
      <c r="K82" s="18">
        <v>284.0</v>
      </c>
      <c r="M82" s="26">
        <v>45897.0</v>
      </c>
      <c r="N82" s="27">
        <v>1807.5</v>
      </c>
    </row>
    <row r="83" ht="22.5" customHeight="1">
      <c r="D83" s="4">
        <v>45542.0</v>
      </c>
      <c r="E83" s="5">
        <v>849.5</v>
      </c>
      <c r="G83" s="26">
        <v>45535.0</v>
      </c>
      <c r="H83" s="27">
        <v>2979.0</v>
      </c>
      <c r="J83" s="17">
        <v>45911.0</v>
      </c>
      <c r="K83" s="18">
        <v>585.0</v>
      </c>
      <c r="M83" s="29">
        <v>45904.0</v>
      </c>
      <c r="N83" s="30">
        <v>1491.5</v>
      </c>
    </row>
    <row r="84" ht="22.5" customHeight="1">
      <c r="D84" s="4">
        <v>45549.0</v>
      </c>
      <c r="E84" s="5">
        <v>385.0</v>
      </c>
      <c r="G84" s="29">
        <v>45542.0</v>
      </c>
      <c r="H84" s="30">
        <v>1816.5</v>
      </c>
      <c r="J84" s="17">
        <v>45918.0</v>
      </c>
      <c r="K84" s="18">
        <v>506.0</v>
      </c>
      <c r="M84" s="26">
        <v>45911.0</v>
      </c>
      <c r="N84" s="27">
        <v>1377.0</v>
      </c>
    </row>
    <row r="85" ht="22.5" customHeight="1">
      <c r="D85" s="4">
        <v>45556.0</v>
      </c>
      <c r="E85" s="5">
        <v>731.0</v>
      </c>
      <c r="G85" s="26">
        <v>45549.0</v>
      </c>
      <c r="H85" s="27">
        <v>1684.0</v>
      </c>
      <c r="J85" s="17">
        <v>45925.0</v>
      </c>
      <c r="K85" s="18">
        <v>402.5</v>
      </c>
      <c r="M85" s="29">
        <v>45918.0</v>
      </c>
      <c r="N85" s="30">
        <v>1494.0</v>
      </c>
    </row>
    <row r="86" ht="22.5" customHeight="1">
      <c r="D86" s="4">
        <v>45563.0</v>
      </c>
      <c r="E86" s="5">
        <v>733.0</v>
      </c>
      <c r="G86" s="29">
        <v>45556.0</v>
      </c>
      <c r="H86" s="30">
        <v>2354.5</v>
      </c>
      <c r="J86" s="17">
        <v>45932.0</v>
      </c>
      <c r="K86" s="18">
        <v>789.5</v>
      </c>
      <c r="M86" s="26">
        <v>45925.0</v>
      </c>
      <c r="N86" s="27">
        <v>1255.0</v>
      </c>
    </row>
    <row r="87">
      <c r="D87" s="4">
        <v>45570.0</v>
      </c>
      <c r="E87" s="5">
        <v>665.0</v>
      </c>
      <c r="G87" s="26">
        <v>45563.0</v>
      </c>
      <c r="H87" s="27">
        <v>2123.0</v>
      </c>
      <c r="M87" s="29">
        <v>45932.0</v>
      </c>
      <c r="N87" s="30">
        <v>2462.0</v>
      </c>
    </row>
    <row r="88">
      <c r="G88" s="29">
        <v>45570.0</v>
      </c>
      <c r="H88" s="30">
        <v>2388.0</v>
      </c>
      <c r="M88" s="26">
        <v>45939.0</v>
      </c>
      <c r="N88" s="27">
        <v>2015.0</v>
      </c>
    </row>
    <row r="89">
      <c r="G89" s="26"/>
      <c r="H89" s="27"/>
      <c r="M89" s="29">
        <v>45946.0</v>
      </c>
      <c r="N89" s="30">
        <v>50.5</v>
      </c>
    </row>
  </sheetData>
  <customSheetViews>
    <customSheetView guid="{983DB09E-2861-4EB0-90E5-90993E437DCC}" filter="1" showAutoFilter="1">
      <autoFilter ref="$M$2:$O$12">
        <sortState ref="M2:O12">
          <sortCondition descending="1" ref="N2:N12"/>
        </sortState>
      </autoFilter>
    </customSheetView>
  </customSheetViews>
  <mergeCells count="1">
    <mergeCell ref="D46:E46"/>
  </mergeCells>
  <dataValidations>
    <dataValidation type="custom" allowBlank="1" showDropDown="1" sqref="B4:B43 J47:J86">
      <formula1>OR(NOT(ISERROR(DATEVALUE(B4))), AND(ISNUMBER(B4), LEFT(CELL("format", B4))="D"))</formula1>
    </dataValidation>
    <dataValidation type="custom" allowBlank="1" showDropDown="1" sqref="N3:N12 C4:C43 K47:K86">
      <formula1>AND(ISNUMBER(C3),(NOT(OR(NOT(ISERROR(DATEVALUE(C3))), AND(ISNUMBER(C3), LEFT(CELL("format", C3))="D")))))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2.88"/>
    <col customWidth="1" min="14" max="14" width="12.75"/>
    <col customWidth="1" min="15" max="15" width="14.13"/>
  </cols>
  <sheetData>
    <row r="2" ht="22.5" customHeight="1">
      <c r="M2" s="11" t="s">
        <v>6</v>
      </c>
      <c r="N2" s="11" t="s">
        <v>7</v>
      </c>
      <c r="O2" s="12" t="s">
        <v>8</v>
      </c>
    </row>
    <row r="3" ht="22.5" customHeight="1">
      <c r="B3" s="31"/>
      <c r="C3" s="31"/>
      <c r="M3" s="14" t="s">
        <v>11</v>
      </c>
      <c r="N3" s="15">
        <f>2751.5</f>
        <v>2751.5</v>
      </c>
      <c r="O3" s="16">
        <v>1379.5</v>
      </c>
    </row>
    <row r="4" ht="22.5" customHeight="1">
      <c r="B4" s="31"/>
      <c r="C4" s="31"/>
      <c r="M4" s="14" t="s">
        <v>12</v>
      </c>
      <c r="N4" s="18">
        <v>3002.5</v>
      </c>
      <c r="O4" s="16">
        <v>2575.0</v>
      </c>
    </row>
    <row r="5" ht="22.5" customHeight="1">
      <c r="B5" s="31"/>
      <c r="C5" s="31"/>
      <c r="M5" s="14" t="s">
        <v>13</v>
      </c>
      <c r="N5" s="18">
        <v>2092.5</v>
      </c>
      <c r="O5" s="16">
        <v>2234.0</v>
      </c>
    </row>
    <row r="6" ht="22.5" customHeight="1">
      <c r="B6" s="31"/>
      <c r="C6" s="31"/>
      <c r="M6" s="14" t="s">
        <v>14</v>
      </c>
      <c r="N6" s="18">
        <v>3387.5</v>
      </c>
      <c r="O6" s="16">
        <v>2881.0</v>
      </c>
    </row>
    <row r="7" ht="22.5" customHeight="1">
      <c r="B7" s="31"/>
      <c r="C7" s="31"/>
      <c r="M7" s="14" t="s">
        <v>15</v>
      </c>
      <c r="N7" s="18">
        <v>3672.5</v>
      </c>
      <c r="O7" s="16">
        <v>3543.0</v>
      </c>
    </row>
    <row r="8" ht="22.5" customHeight="1">
      <c r="B8" s="31"/>
      <c r="C8" s="31"/>
      <c r="M8" s="14" t="s">
        <v>16</v>
      </c>
      <c r="N8" s="18">
        <v>2818.0</v>
      </c>
      <c r="O8" s="16">
        <v>1520.5</v>
      </c>
    </row>
    <row r="9" ht="22.5" customHeight="1">
      <c r="B9" s="31"/>
      <c r="C9" s="31"/>
      <c r="M9" s="14" t="s">
        <v>17</v>
      </c>
      <c r="N9" s="18">
        <v>3062.0</v>
      </c>
      <c r="O9" s="16">
        <v>1401.5</v>
      </c>
    </row>
    <row r="10" ht="22.5" customHeight="1">
      <c r="B10" s="31"/>
      <c r="C10" s="31"/>
      <c r="M10" s="14" t="s">
        <v>18</v>
      </c>
      <c r="N10" s="18">
        <v>2187.5</v>
      </c>
      <c r="O10" s="16">
        <v>2031.5</v>
      </c>
    </row>
    <row r="11" ht="22.5" customHeight="1">
      <c r="B11" s="31"/>
      <c r="C11" s="31"/>
      <c r="M11" s="14" t="s">
        <v>19</v>
      </c>
      <c r="N11" s="18">
        <v>1777.5</v>
      </c>
      <c r="O11" s="16">
        <v>2559.5</v>
      </c>
    </row>
    <row r="12" ht="22.5" customHeight="1">
      <c r="B12" s="31"/>
      <c r="C12" s="31"/>
      <c r="M12" s="14" t="s">
        <v>20</v>
      </c>
      <c r="N12" s="18">
        <v>789.5</v>
      </c>
      <c r="O12" s="16">
        <v>517.0</v>
      </c>
    </row>
    <row r="13">
      <c r="B13" s="31"/>
      <c r="C13" s="31"/>
    </row>
    <row r="14">
      <c r="B14" s="31"/>
      <c r="C14" s="31"/>
    </row>
    <row r="15">
      <c r="B15" s="31"/>
      <c r="C15" s="31"/>
      <c r="N15" s="19"/>
    </row>
    <row r="16">
      <c r="B16" s="31"/>
      <c r="C16" s="31"/>
      <c r="N16" s="19"/>
    </row>
    <row r="17">
      <c r="B17" s="31"/>
      <c r="C17" s="31"/>
      <c r="N17" s="19"/>
    </row>
    <row r="18">
      <c r="B18" s="31"/>
      <c r="C18" s="31"/>
      <c r="N18" s="19"/>
    </row>
    <row r="19">
      <c r="B19" s="31"/>
      <c r="C19" s="31"/>
      <c r="N19" s="19"/>
    </row>
    <row r="20">
      <c r="B20" s="31"/>
      <c r="C20" s="31"/>
      <c r="N20" s="19"/>
    </row>
    <row r="21">
      <c r="B21" s="31"/>
      <c r="C21" s="31"/>
      <c r="N21" s="19"/>
    </row>
    <row r="22">
      <c r="B22" s="31"/>
      <c r="C22" s="31"/>
      <c r="N22" s="19"/>
    </row>
    <row r="23">
      <c r="B23" s="31"/>
      <c r="C23" s="31"/>
      <c r="N23" s="19"/>
    </row>
    <row r="24">
      <c r="B24" s="31"/>
      <c r="C24" s="31"/>
      <c r="N24" s="19"/>
    </row>
    <row r="25">
      <c r="B25" s="31"/>
      <c r="C25" s="31"/>
    </row>
    <row r="26">
      <c r="B26" s="31"/>
      <c r="C26" s="31"/>
    </row>
    <row r="27">
      <c r="B27" s="31"/>
      <c r="C27" s="31"/>
    </row>
    <row r="28">
      <c r="B28" s="31"/>
      <c r="C28" s="31"/>
    </row>
    <row r="29">
      <c r="B29" s="31"/>
      <c r="C29" s="31"/>
    </row>
    <row r="30">
      <c r="B30" s="31"/>
      <c r="C30" s="31"/>
    </row>
    <row r="31">
      <c r="B31" s="31"/>
      <c r="C31" s="31"/>
    </row>
    <row r="32">
      <c r="B32" s="31"/>
      <c r="C32" s="31"/>
    </row>
    <row r="33">
      <c r="B33" s="31"/>
      <c r="C33" s="31"/>
    </row>
    <row r="34">
      <c r="B34" s="31"/>
      <c r="C34" s="31"/>
    </row>
    <row r="35">
      <c r="B35" s="31"/>
      <c r="C35" s="31"/>
    </row>
    <row r="36">
      <c r="B36" s="31"/>
      <c r="C36" s="31"/>
    </row>
    <row r="37">
      <c r="B37" s="31"/>
      <c r="C37" s="31"/>
    </row>
    <row r="38">
      <c r="B38" s="31"/>
      <c r="C38" s="31"/>
    </row>
    <row r="39">
      <c r="B39" s="31"/>
      <c r="C39" s="31"/>
    </row>
    <row r="40">
      <c r="B40" s="31"/>
      <c r="C40" s="31"/>
    </row>
    <row r="41">
      <c r="B41" s="31"/>
      <c r="C41" s="31"/>
    </row>
    <row r="42">
      <c r="B42" s="31"/>
      <c r="C42" s="31"/>
      <c r="Q42" s="20"/>
    </row>
    <row r="43">
      <c r="B43" s="31"/>
      <c r="C43" s="31"/>
    </row>
  </sheetData>
  <customSheetViews>
    <customSheetView guid="{983DB09E-2861-4EB0-90E5-90993E437DCC}" filter="1" showAutoFilter="1">
      <autoFilter ref="$M$2:$O$12">
        <sortState ref="M2:O12">
          <sortCondition descending="1" ref="N2:N12"/>
        </sortState>
      </autoFilter>
    </customSheetView>
  </customSheetViews>
  <dataValidations>
    <dataValidation type="custom" allowBlank="1" showDropDown="1" sqref="N3:N12">
      <formula1>AND(ISNUMBER(N3),(NOT(OR(NOT(ISERROR(DATEVALUE(N3))), AND(ISNUMBER(N3), LEFT(CELL("format", N3))="D")))))</formula1>
    </dataValidation>
  </dataValidations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7" max="7" width="20.88"/>
    <col customWidth="1" min="14" max="14" width="14.88"/>
  </cols>
  <sheetData>
    <row r="1">
      <c r="A1" s="2" t="s">
        <v>2</v>
      </c>
      <c r="B1" s="3"/>
      <c r="G1" s="6" t="s">
        <v>28</v>
      </c>
      <c r="H1" s="7"/>
    </row>
    <row r="2">
      <c r="A2" s="6" t="s">
        <v>9</v>
      </c>
      <c r="B2" s="5" t="s">
        <v>29</v>
      </c>
      <c r="G2" s="21"/>
      <c r="H2" s="22"/>
    </row>
    <row r="3">
      <c r="A3" s="4">
        <v>45661.0</v>
      </c>
      <c r="B3" s="5">
        <v>517.5</v>
      </c>
      <c r="C3" s="6" t="s">
        <v>30</v>
      </c>
      <c r="D3" s="7">
        <f>SUM(B3:B6)</f>
        <v>2293.5</v>
      </c>
      <c r="F3" s="28">
        <f t="shared" ref="F3:F11" si="1">D3/J4</f>
        <v>0.3222565688</v>
      </c>
      <c r="G3" s="23" t="s">
        <v>9</v>
      </c>
      <c r="H3" s="24" t="s">
        <v>26</v>
      </c>
    </row>
    <row r="4">
      <c r="A4" s="4">
        <v>45668.0</v>
      </c>
      <c r="B4" s="5">
        <v>621.0</v>
      </c>
      <c r="C4" s="6" t="s">
        <v>31</v>
      </c>
      <c r="D4" s="7">
        <f>SUM(B7:B10)</f>
        <v>2920.5</v>
      </c>
      <c r="F4" s="28">
        <f t="shared" si="1"/>
        <v>0.3162596784</v>
      </c>
      <c r="G4" s="26">
        <v>45661.0</v>
      </c>
      <c r="H4" s="27">
        <v>2438.0</v>
      </c>
      <c r="I4" s="6" t="s">
        <v>30</v>
      </c>
      <c r="J4" s="7">
        <f>SUM(H4:H7)</f>
        <v>7117</v>
      </c>
    </row>
    <row r="5">
      <c r="A5" s="4">
        <v>45675.0</v>
      </c>
      <c r="B5" s="5">
        <v>571.5</v>
      </c>
      <c r="C5" s="6" t="s">
        <v>32</v>
      </c>
      <c r="D5" s="7">
        <f>SUM(B11:B15)</f>
        <v>5711</v>
      </c>
      <c r="F5" s="28">
        <f t="shared" si="1"/>
        <v>0.372878036</v>
      </c>
      <c r="G5" s="29">
        <v>45668.0</v>
      </c>
      <c r="H5" s="30">
        <v>1656.5</v>
      </c>
      <c r="I5" s="6" t="s">
        <v>31</v>
      </c>
      <c r="J5" s="7">
        <f>SUM(H8:H11)</f>
        <v>9234.5</v>
      </c>
    </row>
    <row r="6">
      <c r="A6" s="4">
        <v>45682.0</v>
      </c>
      <c r="B6" s="5">
        <v>583.5</v>
      </c>
      <c r="C6" s="6" t="s">
        <v>33</v>
      </c>
      <c r="D6" s="7">
        <f>SUM(B16:B19)</f>
        <v>4334.5</v>
      </c>
      <c r="F6" s="28">
        <f t="shared" si="1"/>
        <v>0.3873028638</v>
      </c>
      <c r="G6" s="26">
        <v>45675.0</v>
      </c>
      <c r="H6" s="27">
        <v>1685.5</v>
      </c>
      <c r="I6" s="6" t="s">
        <v>32</v>
      </c>
      <c r="J6" s="7">
        <f>SUM(H12:H16)</f>
        <v>15316</v>
      </c>
    </row>
    <row r="7">
      <c r="A7" s="4">
        <v>45689.0</v>
      </c>
      <c r="B7" s="5">
        <v>616.5</v>
      </c>
      <c r="C7" s="6" t="s">
        <v>34</v>
      </c>
      <c r="D7" s="7">
        <f>SUM(B20:B24)</f>
        <v>3451.5</v>
      </c>
      <c r="F7" s="28">
        <f t="shared" si="1"/>
        <v>0.2840273206</v>
      </c>
      <c r="G7" s="29">
        <v>45682.0</v>
      </c>
      <c r="H7" s="30">
        <v>1337.0</v>
      </c>
      <c r="I7" s="6" t="s">
        <v>33</v>
      </c>
      <c r="J7" s="7">
        <f>SUM(H17:H20)</f>
        <v>11191.5</v>
      </c>
    </row>
    <row r="8">
      <c r="A8" s="4">
        <v>45696.0</v>
      </c>
      <c r="B8" s="5">
        <v>466.0</v>
      </c>
      <c r="C8" s="6" t="s">
        <v>35</v>
      </c>
      <c r="D8" s="7">
        <f>SUM(B25:B28)</f>
        <v>2710</v>
      </c>
      <c r="F8" s="28">
        <f t="shared" si="1"/>
        <v>0.3265847192</v>
      </c>
      <c r="G8" s="26">
        <v>45689.0</v>
      </c>
      <c r="H8" s="27">
        <v>1904.0</v>
      </c>
      <c r="I8" s="6" t="s">
        <v>34</v>
      </c>
      <c r="J8" s="7">
        <f>SUM(H21:H25)</f>
        <v>12152</v>
      </c>
    </row>
    <row r="9">
      <c r="A9" s="4">
        <v>45703.0</v>
      </c>
      <c r="B9" s="5">
        <v>926.0</v>
      </c>
      <c r="C9" s="6" t="s">
        <v>36</v>
      </c>
      <c r="D9" s="7">
        <f>SUM(B29:B32)</f>
        <v>2729</v>
      </c>
      <c r="F9" s="28">
        <f t="shared" si="1"/>
        <v>0.3164791836</v>
      </c>
      <c r="G9" s="29">
        <v>45696.0</v>
      </c>
      <c r="H9" s="30">
        <v>1819.5</v>
      </c>
      <c r="I9" s="6" t="s">
        <v>35</v>
      </c>
      <c r="J9" s="7">
        <f>SUM(H26:H29)</f>
        <v>8298</v>
      </c>
    </row>
    <row r="10">
      <c r="A10" s="4">
        <v>45710.0</v>
      </c>
      <c r="B10" s="5">
        <v>912.0</v>
      </c>
      <c r="C10" s="6" t="s">
        <v>37</v>
      </c>
      <c r="D10" s="7">
        <f>SUM(B33:B37)</f>
        <v>4108.5</v>
      </c>
      <c r="F10" s="28">
        <f t="shared" si="1"/>
        <v>0.4068426004</v>
      </c>
      <c r="G10" s="26">
        <v>45703.0</v>
      </c>
      <c r="H10" s="27">
        <v>2978.5</v>
      </c>
      <c r="I10" s="6" t="s">
        <v>36</v>
      </c>
      <c r="J10" s="7">
        <f>SUM(H30:H33)</f>
        <v>8623</v>
      </c>
    </row>
    <row r="11">
      <c r="A11" s="4">
        <v>45717.0</v>
      </c>
      <c r="B11" s="5">
        <v>805.5</v>
      </c>
      <c r="C11" s="6" t="s">
        <v>38</v>
      </c>
      <c r="D11" s="7">
        <f>SUM(B38:B41)</f>
        <v>2047.5</v>
      </c>
      <c r="F11" s="28">
        <f t="shared" si="1"/>
        <v>0.2603802378</v>
      </c>
      <c r="G11" s="29">
        <v>45710.0</v>
      </c>
      <c r="H11" s="30">
        <v>2532.5</v>
      </c>
      <c r="I11" s="6" t="s">
        <v>37</v>
      </c>
      <c r="J11" s="7">
        <f>SUM(H34:H38)</f>
        <v>10098.5</v>
      </c>
    </row>
    <row r="12">
      <c r="A12" s="4">
        <v>45724.0</v>
      </c>
      <c r="B12" s="5">
        <v>783.0</v>
      </c>
      <c r="G12" s="26">
        <v>45717.0</v>
      </c>
      <c r="H12" s="27">
        <v>2293.0</v>
      </c>
      <c r="I12" s="6" t="s">
        <v>38</v>
      </c>
      <c r="J12" s="7">
        <f>SUM(H39:H42)</f>
        <v>7863.5</v>
      </c>
    </row>
    <row r="13">
      <c r="A13" s="4">
        <v>45731.0</v>
      </c>
      <c r="B13" s="5">
        <v>1286.0</v>
      </c>
      <c r="G13" s="29">
        <v>45724.0</v>
      </c>
      <c r="H13" s="30">
        <v>2720.5</v>
      </c>
    </row>
    <row r="14">
      <c r="A14" s="4">
        <v>45738.0</v>
      </c>
      <c r="B14" s="5">
        <v>1690.5</v>
      </c>
      <c r="G14" s="26">
        <v>45731.0</v>
      </c>
      <c r="H14" s="27">
        <v>3799.5</v>
      </c>
    </row>
    <row r="15">
      <c r="A15" s="4">
        <v>45745.0</v>
      </c>
      <c r="B15" s="5">
        <v>1146.0</v>
      </c>
      <c r="G15" s="29">
        <v>45738.0</v>
      </c>
      <c r="H15" s="30">
        <v>3780.0</v>
      </c>
    </row>
    <row r="16">
      <c r="A16" s="4">
        <v>45752.0</v>
      </c>
      <c r="B16" s="5">
        <v>1262.0</v>
      </c>
      <c r="G16" s="26">
        <v>45745.0</v>
      </c>
      <c r="H16" s="27">
        <v>2723.0</v>
      </c>
    </row>
    <row r="17">
      <c r="A17" s="4">
        <v>45759.0</v>
      </c>
      <c r="B17" s="5">
        <v>935.0</v>
      </c>
      <c r="G17" s="29">
        <v>45752.0</v>
      </c>
      <c r="H17" s="30">
        <v>2981.5</v>
      </c>
    </row>
    <row r="18">
      <c r="A18" s="4">
        <v>45766.0</v>
      </c>
      <c r="B18" s="5">
        <v>1560.0</v>
      </c>
      <c r="G18" s="26">
        <v>45759.0</v>
      </c>
      <c r="H18" s="27">
        <v>2852.5</v>
      </c>
    </row>
    <row r="19">
      <c r="A19" s="4">
        <v>45773.0</v>
      </c>
      <c r="B19" s="5">
        <v>577.5</v>
      </c>
      <c r="G19" s="29">
        <v>45766.0</v>
      </c>
      <c r="H19" s="30">
        <v>3116.5</v>
      </c>
    </row>
    <row r="20">
      <c r="A20" s="4">
        <v>45780.0</v>
      </c>
      <c r="B20" s="5">
        <v>517.0</v>
      </c>
      <c r="G20" s="26">
        <v>45773.0</v>
      </c>
      <c r="H20" s="27">
        <v>2241.0</v>
      </c>
    </row>
    <row r="21">
      <c r="A21" s="4">
        <v>45787.0</v>
      </c>
      <c r="B21" s="5">
        <v>707.5</v>
      </c>
      <c r="G21" s="29">
        <v>45780.0</v>
      </c>
      <c r="H21" s="30">
        <v>2241.5</v>
      </c>
    </row>
    <row r="22">
      <c r="A22" s="4">
        <v>45794.0</v>
      </c>
      <c r="B22" s="5">
        <v>748.0</v>
      </c>
      <c r="G22" s="26">
        <v>45787.0</v>
      </c>
      <c r="H22" s="27">
        <v>2350.0</v>
      </c>
    </row>
    <row r="23">
      <c r="A23" s="4">
        <v>45801.0</v>
      </c>
      <c r="B23" s="5">
        <v>1105.0</v>
      </c>
      <c r="G23" s="29">
        <v>45794.0</v>
      </c>
      <c r="H23" s="30">
        <v>2448.0</v>
      </c>
    </row>
    <row r="24">
      <c r="A24" s="4">
        <v>45808.0</v>
      </c>
      <c r="B24" s="5">
        <v>374.0</v>
      </c>
      <c r="G24" s="26">
        <v>45801.0</v>
      </c>
      <c r="H24" s="27">
        <v>3723.5</v>
      </c>
    </row>
    <row r="25">
      <c r="A25" s="4">
        <v>45815.0</v>
      </c>
      <c r="B25" s="5">
        <v>756.5</v>
      </c>
      <c r="G25" s="29">
        <v>45808.0</v>
      </c>
      <c r="H25" s="30">
        <v>1389.0</v>
      </c>
    </row>
    <row r="26">
      <c r="A26" s="4">
        <v>45822.0</v>
      </c>
      <c r="B26" s="5">
        <v>654.0</v>
      </c>
      <c r="G26" s="26">
        <v>45815.0</v>
      </c>
      <c r="H26" s="27">
        <v>2103.5</v>
      </c>
    </row>
    <row r="27">
      <c r="A27" s="4">
        <v>45829.0</v>
      </c>
      <c r="B27" s="5">
        <v>608.0</v>
      </c>
      <c r="G27" s="29">
        <v>45822.0</v>
      </c>
      <c r="H27" s="30">
        <v>1645.5</v>
      </c>
    </row>
    <row r="28">
      <c r="A28" s="4">
        <v>45836.0</v>
      </c>
      <c r="B28" s="5">
        <v>691.5</v>
      </c>
      <c r="G28" s="26">
        <v>45829.0</v>
      </c>
      <c r="H28" s="27">
        <v>2298.0</v>
      </c>
      <c r="AA28" s="6" t="s">
        <v>39</v>
      </c>
    </row>
    <row r="29">
      <c r="A29" s="4">
        <v>45843.0</v>
      </c>
      <c r="B29" s="5">
        <v>696.0</v>
      </c>
      <c r="G29" s="29">
        <v>45836.0</v>
      </c>
      <c r="H29" s="30">
        <v>2251.0</v>
      </c>
    </row>
    <row r="30">
      <c r="A30" s="4">
        <v>45850.0</v>
      </c>
      <c r="B30" s="5">
        <v>780.0</v>
      </c>
      <c r="G30" s="26">
        <v>45843.0</v>
      </c>
      <c r="H30" s="27">
        <v>1970.0</v>
      </c>
    </row>
    <row r="31">
      <c r="A31" s="4">
        <v>45857.0</v>
      </c>
      <c r="B31" s="5">
        <v>784.0</v>
      </c>
      <c r="G31" s="29">
        <v>45850.0</v>
      </c>
      <c r="H31" s="30">
        <v>1979.0</v>
      </c>
    </row>
    <row r="32">
      <c r="A32" s="4">
        <v>45864.0</v>
      </c>
      <c r="B32" s="5">
        <v>469.0</v>
      </c>
      <c r="G32" s="26">
        <v>45857.0</v>
      </c>
      <c r="H32" s="27">
        <v>2831.5</v>
      </c>
    </row>
    <row r="33">
      <c r="A33" s="4">
        <v>45871.0</v>
      </c>
      <c r="B33" s="5">
        <v>600.5</v>
      </c>
      <c r="G33" s="29">
        <v>45864.0</v>
      </c>
      <c r="H33" s="30">
        <v>1842.5</v>
      </c>
    </row>
    <row r="34">
      <c r="A34" s="4">
        <v>45878.0</v>
      </c>
      <c r="B34" s="5">
        <v>577.0</v>
      </c>
      <c r="G34" s="26">
        <v>45871.0</v>
      </c>
      <c r="H34" s="27">
        <v>1846.0</v>
      </c>
    </row>
    <row r="35">
      <c r="A35" s="4">
        <v>45885.0</v>
      </c>
      <c r="B35" s="5">
        <v>1225.5</v>
      </c>
      <c r="G35" s="29">
        <v>45878.0</v>
      </c>
      <c r="H35" s="30">
        <v>1496.0</v>
      </c>
    </row>
    <row r="36">
      <c r="A36" s="4">
        <v>45892.0</v>
      </c>
      <c r="B36" s="5">
        <v>900.0</v>
      </c>
      <c r="G36" s="26">
        <v>45885.0</v>
      </c>
      <c r="H36" s="27">
        <v>2512.0</v>
      </c>
    </row>
    <row r="37">
      <c r="A37" s="4">
        <v>45899.0</v>
      </c>
      <c r="B37" s="5">
        <v>805.5</v>
      </c>
      <c r="G37" s="29">
        <v>45892.0</v>
      </c>
      <c r="H37" s="30">
        <v>2031.5</v>
      </c>
    </row>
    <row r="38">
      <c r="A38" s="4">
        <v>45906.0</v>
      </c>
      <c r="B38" s="5">
        <v>462.0</v>
      </c>
      <c r="G38" s="26">
        <v>45899.0</v>
      </c>
      <c r="H38" s="27">
        <v>2213.0</v>
      </c>
    </row>
    <row r="39">
      <c r="A39" s="4">
        <v>45913.0</v>
      </c>
      <c r="B39" s="5">
        <v>621.0</v>
      </c>
      <c r="G39" s="29">
        <v>45906.0</v>
      </c>
      <c r="H39" s="30">
        <v>1582.5</v>
      </c>
    </row>
    <row r="40">
      <c r="A40" s="4">
        <v>45920.0</v>
      </c>
      <c r="B40" s="5">
        <v>379.5</v>
      </c>
      <c r="G40" s="26">
        <v>45913.0</v>
      </c>
      <c r="H40" s="27">
        <v>2359.5</v>
      </c>
    </row>
    <row r="41">
      <c r="A41" s="4">
        <v>45927.0</v>
      </c>
      <c r="B41" s="5">
        <v>585.0</v>
      </c>
      <c r="G41" s="29">
        <v>45920.0</v>
      </c>
      <c r="H41" s="30">
        <v>1668.5</v>
      </c>
    </row>
    <row r="42">
      <c r="A42" s="4">
        <v>45934.0</v>
      </c>
      <c r="B42" s="5">
        <v>1098.5</v>
      </c>
      <c r="G42" s="26">
        <v>45927.0</v>
      </c>
      <c r="H42" s="27">
        <v>2253.0</v>
      </c>
    </row>
    <row r="43">
      <c r="G43" s="29">
        <v>45934.0</v>
      </c>
      <c r="H43" s="30">
        <v>3253.0</v>
      </c>
    </row>
    <row r="44">
      <c r="G44" s="26">
        <v>45941.0</v>
      </c>
      <c r="H44" s="27">
        <v>1997.0</v>
      </c>
    </row>
    <row r="45">
      <c r="H45" s="7"/>
      <c r="Q45" s="7"/>
      <c r="W45" s="7"/>
    </row>
    <row r="46">
      <c r="H46" s="7"/>
      <c r="Q46" s="7"/>
      <c r="W46" s="7"/>
    </row>
    <row r="47">
      <c r="H47" s="7"/>
      <c r="Q47" s="7"/>
      <c r="W47" s="7"/>
    </row>
    <row r="48">
      <c r="H48" s="7"/>
      <c r="Q48" s="7"/>
      <c r="W48" s="7"/>
    </row>
    <row r="49">
      <c r="H49" s="7"/>
      <c r="Q49" s="7"/>
      <c r="W49" s="7"/>
    </row>
    <row r="50">
      <c r="H50" s="7"/>
      <c r="Q50" s="7"/>
      <c r="W50" s="7"/>
    </row>
    <row r="51">
      <c r="H51" s="7"/>
      <c r="Q51" s="7"/>
      <c r="W51" s="7"/>
    </row>
    <row r="52">
      <c r="H52" s="7"/>
      <c r="Q52" s="7"/>
      <c r="W52" s="7"/>
    </row>
    <row r="53">
      <c r="H53" s="7"/>
      <c r="Q53" s="7"/>
      <c r="W53" s="7"/>
    </row>
    <row r="54">
      <c r="H54" s="7"/>
      <c r="Q54" s="7"/>
      <c r="W54" s="7"/>
    </row>
    <row r="55">
      <c r="H55" s="7"/>
      <c r="Q55" s="7"/>
      <c r="W55" s="7"/>
    </row>
    <row r="56">
      <c r="H56" s="7"/>
      <c r="Q56" s="7"/>
      <c r="W56" s="7"/>
    </row>
    <row r="57">
      <c r="H57" s="7"/>
      <c r="Q57" s="7"/>
      <c r="W57" s="7"/>
    </row>
    <row r="58">
      <c r="H58" s="7"/>
      <c r="Q58" s="7"/>
      <c r="W58" s="7"/>
    </row>
    <row r="59">
      <c r="H59" s="7"/>
      <c r="Q59" s="7"/>
      <c r="W59" s="7"/>
    </row>
    <row r="60">
      <c r="H60" s="7"/>
      <c r="Q60" s="7"/>
      <c r="W60" s="7"/>
    </row>
    <row r="61">
      <c r="H61" s="7"/>
      <c r="Q61" s="7"/>
      <c r="W61" s="7"/>
    </row>
    <row r="62">
      <c r="H62" s="7"/>
      <c r="Q62" s="7"/>
      <c r="W62" s="7"/>
    </row>
    <row r="63">
      <c r="H63" s="7"/>
      <c r="Q63" s="7"/>
      <c r="W63" s="7"/>
    </row>
    <row r="64">
      <c r="H64" s="7"/>
      <c r="Q64" s="7"/>
      <c r="W64" s="7"/>
    </row>
    <row r="65">
      <c r="H65" s="7"/>
      <c r="Q65" s="7"/>
      <c r="W65" s="7"/>
    </row>
    <row r="66">
      <c r="H66" s="7"/>
      <c r="Q66" s="7"/>
      <c r="W66" s="7"/>
    </row>
    <row r="67">
      <c r="H67" s="7"/>
      <c r="Q67" s="7"/>
      <c r="W67" s="7"/>
    </row>
    <row r="68">
      <c r="H68" s="7"/>
      <c r="Q68" s="7"/>
      <c r="W68" s="7"/>
    </row>
    <row r="69">
      <c r="H69" s="7"/>
      <c r="Q69" s="7"/>
      <c r="W69" s="7"/>
    </row>
    <row r="70">
      <c r="H70" s="7"/>
      <c r="Q70" s="7"/>
      <c r="W70" s="7"/>
    </row>
    <row r="71">
      <c r="H71" s="7"/>
      <c r="Q71" s="7"/>
      <c r="W71" s="7"/>
    </row>
    <row r="72">
      <c r="H72" s="7"/>
      <c r="Q72" s="7"/>
      <c r="W72" s="7"/>
    </row>
    <row r="73">
      <c r="H73" s="7"/>
      <c r="Q73" s="7"/>
      <c r="W73" s="7"/>
    </row>
    <row r="74">
      <c r="H74" s="7"/>
      <c r="Q74" s="7"/>
      <c r="W74" s="7"/>
    </row>
    <row r="75">
      <c r="H75" s="7"/>
      <c r="Q75" s="7"/>
      <c r="W75" s="7"/>
    </row>
    <row r="76">
      <c r="H76" s="7"/>
      <c r="Q76" s="7"/>
      <c r="W76" s="7"/>
    </row>
    <row r="77">
      <c r="H77" s="7"/>
      <c r="Q77" s="7"/>
      <c r="W77" s="7"/>
    </row>
    <row r="78">
      <c r="H78" s="7"/>
      <c r="Q78" s="7"/>
      <c r="W78" s="7"/>
    </row>
    <row r="79">
      <c r="H79" s="7"/>
      <c r="Q79" s="7"/>
      <c r="W79" s="7"/>
    </row>
    <row r="80">
      <c r="H80" s="7"/>
      <c r="Q80" s="7"/>
      <c r="W80" s="7"/>
    </row>
    <row r="81">
      <c r="H81" s="7"/>
      <c r="Q81" s="7"/>
      <c r="W81" s="7"/>
    </row>
    <row r="82">
      <c r="H82" s="7"/>
      <c r="Q82" s="7"/>
      <c r="W82" s="7"/>
    </row>
    <row r="83">
      <c r="H83" s="7"/>
      <c r="Q83" s="7"/>
      <c r="W83" s="7"/>
    </row>
    <row r="84">
      <c r="H84" s="7"/>
      <c r="Q84" s="7"/>
      <c r="W84" s="7"/>
    </row>
    <row r="85">
      <c r="H85" s="7"/>
      <c r="Q85" s="7"/>
      <c r="W85" s="7"/>
    </row>
    <row r="86">
      <c r="H86" s="7"/>
      <c r="Q86" s="7"/>
      <c r="W86" s="7"/>
    </row>
    <row r="87">
      <c r="H87" s="7"/>
      <c r="Q87" s="7"/>
      <c r="W87" s="7"/>
    </row>
    <row r="88">
      <c r="H88" s="7"/>
      <c r="Q88" s="7"/>
      <c r="W88" s="7"/>
    </row>
    <row r="89">
      <c r="H89" s="7"/>
      <c r="Q89" s="7"/>
      <c r="W89" s="7"/>
    </row>
    <row r="90">
      <c r="H90" s="7"/>
      <c r="Q90" s="7"/>
      <c r="W90" s="7"/>
    </row>
    <row r="91">
      <c r="H91" s="7"/>
      <c r="Q91" s="7"/>
      <c r="W91" s="7"/>
    </row>
    <row r="92">
      <c r="H92" s="7"/>
      <c r="Q92" s="7"/>
      <c r="W92" s="7"/>
    </row>
    <row r="93">
      <c r="H93" s="7"/>
      <c r="Q93" s="7"/>
      <c r="W93" s="7"/>
    </row>
    <row r="94">
      <c r="H94" s="7"/>
      <c r="Q94" s="7"/>
      <c r="W94" s="7"/>
    </row>
    <row r="95">
      <c r="H95" s="7"/>
      <c r="Q95" s="7"/>
      <c r="W95" s="7"/>
    </row>
    <row r="96">
      <c r="H96" s="7"/>
      <c r="Q96" s="7"/>
      <c r="W96" s="7"/>
    </row>
    <row r="97">
      <c r="H97" s="7"/>
      <c r="Q97" s="7"/>
      <c r="W97" s="7"/>
    </row>
    <row r="98">
      <c r="H98" s="7"/>
      <c r="Q98" s="7"/>
      <c r="W98" s="7"/>
    </row>
    <row r="99">
      <c r="H99" s="7"/>
      <c r="Q99" s="7"/>
      <c r="W99" s="7"/>
    </row>
    <row r="100">
      <c r="H100" s="7"/>
      <c r="Q100" s="7"/>
      <c r="W100" s="7"/>
    </row>
    <row r="101">
      <c r="H101" s="7"/>
      <c r="Q101" s="7"/>
      <c r="W101" s="7"/>
    </row>
    <row r="102">
      <c r="H102" s="7"/>
      <c r="Q102" s="7"/>
      <c r="W102" s="7"/>
    </row>
    <row r="103">
      <c r="H103" s="7"/>
      <c r="Q103" s="7"/>
      <c r="W103" s="7"/>
    </row>
    <row r="104">
      <c r="H104" s="7"/>
      <c r="Q104" s="7"/>
      <c r="W104" s="7"/>
    </row>
    <row r="105">
      <c r="H105" s="7"/>
      <c r="Q105" s="7"/>
      <c r="W105" s="7"/>
    </row>
    <row r="106">
      <c r="H106" s="7"/>
      <c r="Q106" s="7"/>
      <c r="W106" s="7"/>
    </row>
    <row r="107">
      <c r="H107" s="7"/>
      <c r="Q107" s="7"/>
      <c r="W107" s="7"/>
    </row>
    <row r="108">
      <c r="H108" s="7"/>
      <c r="Q108" s="7"/>
      <c r="W108" s="7"/>
    </row>
    <row r="109">
      <c r="H109" s="7"/>
      <c r="Q109" s="7"/>
      <c r="W109" s="7"/>
    </row>
    <row r="110">
      <c r="H110" s="7"/>
      <c r="Q110" s="7"/>
      <c r="W110" s="7"/>
    </row>
    <row r="111">
      <c r="H111" s="7"/>
      <c r="Q111" s="7"/>
      <c r="W111" s="7"/>
    </row>
    <row r="112">
      <c r="H112" s="7"/>
      <c r="Q112" s="7"/>
      <c r="W112" s="7"/>
    </row>
    <row r="113">
      <c r="H113" s="7"/>
      <c r="Q113" s="7"/>
      <c r="W113" s="7"/>
    </row>
    <row r="114">
      <c r="H114" s="7"/>
      <c r="Q114" s="7"/>
      <c r="W114" s="7"/>
    </row>
    <row r="115">
      <c r="H115" s="7"/>
      <c r="Q115" s="7"/>
      <c r="W115" s="7"/>
    </row>
    <row r="116">
      <c r="H116" s="7"/>
      <c r="Q116" s="7"/>
      <c r="W116" s="7"/>
    </row>
    <row r="117">
      <c r="H117" s="7"/>
      <c r="Q117" s="7"/>
      <c r="W117" s="7"/>
    </row>
    <row r="118">
      <c r="H118" s="7"/>
      <c r="Q118" s="7"/>
      <c r="W118" s="7"/>
    </row>
    <row r="119">
      <c r="H119" s="7"/>
      <c r="Q119" s="7"/>
      <c r="W119" s="7"/>
    </row>
    <row r="120">
      <c r="H120" s="7"/>
      <c r="Q120" s="7"/>
      <c r="W120" s="7"/>
    </row>
    <row r="121">
      <c r="H121" s="7"/>
      <c r="Q121" s="7"/>
      <c r="W121" s="7"/>
    </row>
    <row r="122">
      <c r="H122" s="7"/>
      <c r="Q122" s="7"/>
      <c r="W122" s="7"/>
    </row>
    <row r="123">
      <c r="H123" s="7"/>
      <c r="Q123" s="7"/>
      <c r="W123" s="7"/>
    </row>
    <row r="124">
      <c r="H124" s="7"/>
      <c r="Q124" s="7"/>
      <c r="W124" s="7"/>
    </row>
    <row r="125">
      <c r="H125" s="7"/>
      <c r="Q125" s="7"/>
      <c r="W125" s="7"/>
    </row>
    <row r="126">
      <c r="H126" s="7"/>
      <c r="Q126" s="7"/>
      <c r="W126" s="7"/>
    </row>
    <row r="127">
      <c r="H127" s="7"/>
      <c r="Q127" s="7"/>
      <c r="W127" s="7"/>
    </row>
    <row r="128">
      <c r="H128" s="7"/>
      <c r="Q128" s="7"/>
      <c r="W128" s="7"/>
    </row>
    <row r="129">
      <c r="H129" s="7"/>
      <c r="Q129" s="7"/>
      <c r="W129" s="7"/>
    </row>
    <row r="130">
      <c r="H130" s="7"/>
      <c r="Q130" s="7"/>
      <c r="W130" s="7"/>
    </row>
    <row r="131">
      <c r="H131" s="7"/>
      <c r="Q131" s="7"/>
      <c r="W131" s="7"/>
    </row>
    <row r="132">
      <c r="H132" s="7"/>
      <c r="Q132" s="7"/>
      <c r="W132" s="7"/>
    </row>
    <row r="133">
      <c r="H133" s="7"/>
      <c r="Q133" s="7"/>
      <c r="W133" s="7"/>
    </row>
    <row r="134">
      <c r="H134" s="7"/>
      <c r="Q134" s="7"/>
      <c r="W134" s="7"/>
    </row>
    <row r="135">
      <c r="H135" s="7"/>
      <c r="Q135" s="7"/>
      <c r="W135" s="7"/>
    </row>
    <row r="136">
      <c r="H136" s="7"/>
      <c r="Q136" s="7"/>
      <c r="W136" s="7"/>
    </row>
    <row r="137">
      <c r="H137" s="7"/>
      <c r="Q137" s="7"/>
      <c r="W137" s="7"/>
    </row>
    <row r="138">
      <c r="H138" s="7"/>
      <c r="Q138" s="7"/>
      <c r="W138" s="7"/>
    </row>
    <row r="139">
      <c r="H139" s="7"/>
      <c r="Q139" s="7"/>
      <c r="W139" s="7"/>
    </row>
    <row r="140">
      <c r="H140" s="7"/>
      <c r="Q140" s="7"/>
      <c r="W140" s="7"/>
    </row>
    <row r="141">
      <c r="H141" s="7"/>
      <c r="Q141" s="7"/>
      <c r="W141" s="7"/>
    </row>
    <row r="142">
      <c r="H142" s="7"/>
      <c r="Q142" s="7"/>
      <c r="W142" s="7"/>
    </row>
    <row r="143">
      <c r="H143" s="7"/>
      <c r="Q143" s="7"/>
      <c r="W143" s="7"/>
    </row>
    <row r="144">
      <c r="H144" s="7"/>
      <c r="Q144" s="7"/>
      <c r="W144" s="7"/>
    </row>
    <row r="145">
      <c r="H145" s="7"/>
      <c r="Q145" s="7"/>
      <c r="W145" s="7"/>
    </row>
    <row r="146">
      <c r="H146" s="7"/>
      <c r="Q146" s="7"/>
      <c r="W146" s="7"/>
    </row>
    <row r="147">
      <c r="H147" s="7"/>
      <c r="Q147" s="7"/>
      <c r="W147" s="7"/>
    </row>
    <row r="148">
      <c r="H148" s="7"/>
      <c r="Q148" s="7"/>
      <c r="W148" s="7"/>
    </row>
    <row r="149">
      <c r="H149" s="7"/>
      <c r="Q149" s="7"/>
      <c r="W149" s="7"/>
    </row>
    <row r="150">
      <c r="H150" s="7"/>
      <c r="Q150" s="7"/>
      <c r="W150" s="7"/>
    </row>
    <row r="151">
      <c r="H151" s="7"/>
      <c r="Q151" s="7"/>
      <c r="W151" s="7"/>
    </row>
    <row r="152">
      <c r="H152" s="7"/>
      <c r="Q152" s="7"/>
      <c r="W152" s="7"/>
    </row>
    <row r="153">
      <c r="H153" s="7"/>
      <c r="Q153" s="7"/>
      <c r="W153" s="7"/>
    </row>
    <row r="154">
      <c r="H154" s="7"/>
      <c r="Q154" s="7"/>
      <c r="W154" s="7"/>
    </row>
    <row r="155">
      <c r="H155" s="7"/>
      <c r="Q155" s="7"/>
      <c r="W155" s="7"/>
    </row>
    <row r="156">
      <c r="H156" s="7"/>
      <c r="Q156" s="7"/>
      <c r="W156" s="7"/>
    </row>
    <row r="157">
      <c r="H157" s="7"/>
      <c r="Q157" s="7"/>
      <c r="W157" s="7"/>
    </row>
    <row r="158">
      <c r="H158" s="7"/>
      <c r="Q158" s="7"/>
      <c r="W158" s="7"/>
    </row>
    <row r="159">
      <c r="H159" s="7"/>
      <c r="Q159" s="7"/>
      <c r="W159" s="7"/>
    </row>
    <row r="160">
      <c r="H160" s="7"/>
      <c r="Q160" s="7"/>
      <c r="W160" s="7"/>
    </row>
    <row r="161">
      <c r="H161" s="7"/>
      <c r="Q161" s="7"/>
      <c r="W161" s="7"/>
    </row>
    <row r="162">
      <c r="H162" s="7"/>
      <c r="Q162" s="7"/>
      <c r="W162" s="7"/>
    </row>
    <row r="163">
      <c r="H163" s="7"/>
      <c r="Q163" s="7"/>
      <c r="W163" s="7"/>
    </row>
    <row r="164">
      <c r="H164" s="7"/>
      <c r="Q164" s="7"/>
      <c r="W164" s="7"/>
    </row>
    <row r="165">
      <c r="H165" s="7"/>
      <c r="Q165" s="7"/>
      <c r="W165" s="7"/>
    </row>
    <row r="166">
      <c r="H166" s="7"/>
      <c r="Q166" s="7"/>
      <c r="W166" s="7"/>
    </row>
    <row r="167">
      <c r="H167" s="7"/>
      <c r="Q167" s="7"/>
      <c r="W167" s="7"/>
    </row>
    <row r="168">
      <c r="H168" s="7"/>
      <c r="Q168" s="7"/>
      <c r="W168" s="7"/>
    </row>
    <row r="169">
      <c r="H169" s="7"/>
      <c r="Q169" s="7"/>
      <c r="W169" s="7"/>
    </row>
    <row r="170">
      <c r="H170" s="7"/>
      <c r="Q170" s="7"/>
      <c r="W170" s="7"/>
    </row>
    <row r="171">
      <c r="H171" s="7"/>
      <c r="Q171" s="7"/>
      <c r="W171" s="7"/>
    </row>
    <row r="172">
      <c r="H172" s="7"/>
      <c r="Q172" s="7"/>
      <c r="W172" s="7"/>
    </row>
    <row r="173">
      <c r="H173" s="7"/>
      <c r="Q173" s="7"/>
      <c r="W173" s="7"/>
    </row>
    <row r="174">
      <c r="H174" s="7"/>
      <c r="Q174" s="7"/>
      <c r="W174" s="7"/>
    </row>
    <row r="175">
      <c r="H175" s="7"/>
      <c r="Q175" s="7"/>
      <c r="W175" s="7"/>
    </row>
    <row r="176">
      <c r="H176" s="7"/>
      <c r="Q176" s="7"/>
      <c r="W176" s="7"/>
    </row>
    <row r="177">
      <c r="H177" s="7"/>
      <c r="Q177" s="7"/>
      <c r="W177" s="7"/>
    </row>
    <row r="178">
      <c r="H178" s="7"/>
      <c r="Q178" s="7"/>
      <c r="W178" s="7"/>
    </row>
    <row r="179">
      <c r="H179" s="7"/>
      <c r="Q179" s="7"/>
      <c r="W179" s="7"/>
    </row>
    <row r="180">
      <c r="H180" s="7"/>
      <c r="Q180" s="7"/>
      <c r="W180" s="7"/>
    </row>
    <row r="181">
      <c r="H181" s="7"/>
      <c r="Q181" s="7"/>
      <c r="W181" s="7"/>
    </row>
    <row r="182">
      <c r="H182" s="7"/>
      <c r="Q182" s="7"/>
      <c r="W182" s="7"/>
    </row>
    <row r="183">
      <c r="H183" s="7"/>
      <c r="Q183" s="7"/>
      <c r="W183" s="7"/>
    </row>
    <row r="184">
      <c r="H184" s="7"/>
      <c r="Q184" s="7"/>
      <c r="W184" s="7"/>
    </row>
    <row r="185">
      <c r="H185" s="7"/>
      <c r="Q185" s="7"/>
      <c r="W185" s="7"/>
    </row>
    <row r="186">
      <c r="H186" s="7"/>
      <c r="Q186" s="7"/>
      <c r="W186" s="7"/>
    </row>
    <row r="187">
      <c r="H187" s="7"/>
      <c r="Q187" s="7"/>
      <c r="W187" s="7"/>
    </row>
    <row r="188">
      <c r="H188" s="7"/>
      <c r="Q188" s="7"/>
      <c r="W188" s="7"/>
    </row>
    <row r="189">
      <c r="H189" s="7"/>
      <c r="Q189" s="7"/>
      <c r="W189" s="7"/>
    </row>
    <row r="190">
      <c r="H190" s="7"/>
      <c r="Q190" s="7"/>
      <c r="W190" s="7"/>
    </row>
    <row r="191">
      <c r="H191" s="7"/>
      <c r="Q191" s="7"/>
      <c r="W191" s="7"/>
    </row>
    <row r="192">
      <c r="H192" s="7"/>
      <c r="Q192" s="7"/>
      <c r="W192" s="7"/>
    </row>
    <row r="193">
      <c r="H193" s="7"/>
      <c r="Q193" s="7"/>
      <c r="W193" s="7"/>
    </row>
    <row r="194">
      <c r="H194" s="7"/>
      <c r="Q194" s="7"/>
      <c r="W194" s="7"/>
    </row>
    <row r="195">
      <c r="H195" s="7"/>
      <c r="Q195" s="7"/>
      <c r="W195" s="7"/>
    </row>
    <row r="196">
      <c r="H196" s="7"/>
      <c r="Q196" s="7"/>
      <c r="W196" s="7"/>
    </row>
    <row r="197">
      <c r="H197" s="7"/>
      <c r="Q197" s="7"/>
      <c r="W197" s="7"/>
    </row>
    <row r="198">
      <c r="H198" s="7"/>
      <c r="Q198" s="7"/>
      <c r="W198" s="7"/>
    </row>
    <row r="199">
      <c r="H199" s="7"/>
      <c r="Q199" s="7"/>
      <c r="W199" s="7"/>
    </row>
    <row r="200">
      <c r="H200" s="7"/>
      <c r="Q200" s="7"/>
      <c r="W200" s="7"/>
    </row>
    <row r="201">
      <c r="H201" s="7"/>
      <c r="Q201" s="7"/>
      <c r="W201" s="7"/>
    </row>
    <row r="202">
      <c r="H202" s="7"/>
      <c r="Q202" s="7"/>
      <c r="W202" s="7"/>
    </row>
    <row r="203">
      <c r="H203" s="7"/>
      <c r="Q203" s="7"/>
      <c r="W203" s="7"/>
    </row>
    <row r="204">
      <c r="H204" s="7"/>
      <c r="Q204" s="7"/>
      <c r="W204" s="7"/>
    </row>
    <row r="205">
      <c r="H205" s="7"/>
      <c r="Q205" s="7"/>
      <c r="W205" s="7"/>
    </row>
    <row r="206">
      <c r="H206" s="7"/>
      <c r="Q206" s="7"/>
      <c r="W206" s="7"/>
    </row>
    <row r="207">
      <c r="H207" s="7"/>
      <c r="Q207" s="7"/>
      <c r="W207" s="7"/>
    </row>
    <row r="208">
      <c r="H208" s="7"/>
      <c r="Q208" s="7"/>
      <c r="W208" s="7"/>
    </row>
    <row r="209">
      <c r="H209" s="7"/>
      <c r="Q209" s="7"/>
      <c r="W209" s="7"/>
    </row>
    <row r="210">
      <c r="H210" s="7"/>
      <c r="Q210" s="7"/>
      <c r="W210" s="7"/>
    </row>
    <row r="211">
      <c r="H211" s="7"/>
      <c r="Q211" s="7"/>
      <c r="W211" s="7"/>
    </row>
    <row r="212">
      <c r="H212" s="7"/>
      <c r="Q212" s="7"/>
      <c r="W212" s="7"/>
    </row>
    <row r="213">
      <c r="H213" s="7"/>
      <c r="Q213" s="7"/>
      <c r="W213" s="7"/>
    </row>
    <row r="214">
      <c r="H214" s="7"/>
      <c r="Q214" s="7"/>
      <c r="W214" s="7"/>
    </row>
    <row r="215">
      <c r="H215" s="7"/>
      <c r="Q215" s="7"/>
      <c r="W215" s="7"/>
    </row>
    <row r="216">
      <c r="H216" s="7"/>
      <c r="Q216" s="7"/>
      <c r="W216" s="7"/>
    </row>
    <row r="217">
      <c r="H217" s="7"/>
      <c r="Q217" s="7"/>
      <c r="W217" s="7"/>
    </row>
    <row r="218">
      <c r="H218" s="7"/>
      <c r="Q218" s="7"/>
      <c r="W218" s="7"/>
    </row>
    <row r="219">
      <c r="H219" s="7"/>
      <c r="Q219" s="7"/>
      <c r="W219" s="7"/>
    </row>
    <row r="220">
      <c r="H220" s="7"/>
      <c r="Q220" s="7"/>
      <c r="W220" s="7"/>
    </row>
    <row r="221">
      <c r="H221" s="7"/>
      <c r="Q221" s="7"/>
      <c r="W221" s="7"/>
    </row>
    <row r="222">
      <c r="H222" s="7"/>
      <c r="Q222" s="7"/>
      <c r="W222" s="7"/>
    </row>
    <row r="223">
      <c r="H223" s="7"/>
      <c r="Q223" s="7"/>
      <c r="W223" s="7"/>
    </row>
    <row r="224">
      <c r="H224" s="7"/>
      <c r="Q224" s="7"/>
      <c r="W224" s="7"/>
    </row>
    <row r="225">
      <c r="H225" s="7"/>
      <c r="Q225" s="7"/>
      <c r="W225" s="7"/>
    </row>
    <row r="226">
      <c r="H226" s="7"/>
      <c r="Q226" s="7"/>
      <c r="W226" s="7"/>
    </row>
    <row r="227">
      <c r="H227" s="7"/>
      <c r="Q227" s="7"/>
      <c r="W227" s="7"/>
    </row>
    <row r="228">
      <c r="H228" s="7"/>
      <c r="Q228" s="7"/>
      <c r="W228" s="7"/>
    </row>
    <row r="229">
      <c r="H229" s="7"/>
      <c r="Q229" s="7"/>
      <c r="W229" s="7"/>
    </row>
    <row r="230">
      <c r="H230" s="7"/>
      <c r="Q230" s="7"/>
      <c r="W230" s="7"/>
    </row>
    <row r="231">
      <c r="H231" s="7"/>
      <c r="Q231" s="7"/>
      <c r="W231" s="7"/>
    </row>
    <row r="232">
      <c r="H232" s="7"/>
      <c r="Q232" s="7"/>
      <c r="W232" s="7"/>
    </row>
    <row r="233">
      <c r="H233" s="7"/>
      <c r="Q233" s="7"/>
      <c r="W233" s="7"/>
    </row>
    <row r="234">
      <c r="H234" s="7"/>
      <c r="Q234" s="7"/>
      <c r="W234" s="7"/>
    </row>
    <row r="235">
      <c r="H235" s="7"/>
      <c r="Q235" s="7"/>
      <c r="W235" s="7"/>
    </row>
    <row r="236">
      <c r="H236" s="7"/>
      <c r="Q236" s="7"/>
      <c r="W236" s="7"/>
    </row>
    <row r="237">
      <c r="H237" s="7"/>
      <c r="Q237" s="7"/>
      <c r="W237" s="7"/>
    </row>
    <row r="238">
      <c r="H238" s="7"/>
      <c r="Q238" s="7"/>
      <c r="W238" s="7"/>
    </row>
    <row r="239">
      <c r="H239" s="7"/>
      <c r="Q239" s="7"/>
      <c r="W239" s="7"/>
    </row>
    <row r="240">
      <c r="H240" s="7"/>
      <c r="Q240" s="7"/>
      <c r="W240" s="7"/>
    </row>
    <row r="241">
      <c r="H241" s="7"/>
      <c r="Q241" s="7"/>
      <c r="W241" s="7"/>
    </row>
    <row r="242">
      <c r="H242" s="7"/>
      <c r="Q242" s="7"/>
      <c r="W242" s="7"/>
    </row>
    <row r="243">
      <c r="H243" s="7"/>
      <c r="Q243" s="7"/>
      <c r="W243" s="7"/>
    </row>
    <row r="244">
      <c r="H244" s="7"/>
      <c r="Q244" s="7"/>
      <c r="W244" s="7"/>
    </row>
    <row r="245">
      <c r="H245" s="7"/>
      <c r="Q245" s="7"/>
      <c r="W245" s="7"/>
    </row>
    <row r="246">
      <c r="H246" s="7"/>
      <c r="Q246" s="7"/>
      <c r="W246" s="7"/>
    </row>
    <row r="247">
      <c r="H247" s="7"/>
      <c r="Q247" s="7"/>
      <c r="W247" s="7"/>
    </row>
    <row r="248">
      <c r="H248" s="7"/>
      <c r="Q248" s="7"/>
      <c r="W248" s="7"/>
    </row>
    <row r="249">
      <c r="H249" s="7"/>
      <c r="Q249" s="7"/>
      <c r="W249" s="7"/>
    </row>
    <row r="250">
      <c r="H250" s="7"/>
      <c r="Q250" s="7"/>
      <c r="W250" s="7"/>
    </row>
    <row r="251">
      <c r="H251" s="7"/>
      <c r="Q251" s="7"/>
      <c r="W251" s="7"/>
    </row>
    <row r="252">
      <c r="H252" s="7"/>
      <c r="Q252" s="7"/>
      <c r="W252" s="7"/>
    </row>
    <row r="253">
      <c r="H253" s="7"/>
      <c r="Q253" s="7"/>
      <c r="W253" s="7"/>
    </row>
    <row r="254">
      <c r="H254" s="7"/>
      <c r="Q254" s="7"/>
      <c r="W254" s="7"/>
    </row>
    <row r="255">
      <c r="H255" s="7"/>
      <c r="Q255" s="7"/>
      <c r="W255" s="7"/>
    </row>
    <row r="256">
      <c r="H256" s="7"/>
      <c r="Q256" s="7"/>
      <c r="W256" s="7"/>
    </row>
    <row r="257">
      <c r="H257" s="7"/>
      <c r="Q257" s="7"/>
      <c r="W257" s="7"/>
    </row>
    <row r="258">
      <c r="H258" s="7"/>
      <c r="Q258" s="7"/>
      <c r="W258" s="7"/>
    </row>
    <row r="259">
      <c r="H259" s="7"/>
      <c r="Q259" s="7"/>
      <c r="W259" s="7"/>
    </row>
    <row r="260">
      <c r="H260" s="7"/>
      <c r="Q260" s="7"/>
      <c r="W260" s="7"/>
    </row>
    <row r="261">
      <c r="H261" s="7"/>
      <c r="Q261" s="7"/>
      <c r="W261" s="7"/>
    </row>
    <row r="262">
      <c r="H262" s="7"/>
      <c r="Q262" s="7"/>
      <c r="W262" s="7"/>
    </row>
    <row r="263">
      <c r="H263" s="7"/>
      <c r="Q263" s="7"/>
      <c r="W263" s="7"/>
    </row>
    <row r="264">
      <c r="H264" s="7"/>
      <c r="Q264" s="7"/>
      <c r="W264" s="7"/>
    </row>
    <row r="265">
      <c r="H265" s="7"/>
      <c r="Q265" s="7"/>
      <c r="W265" s="7"/>
    </row>
    <row r="266">
      <c r="H266" s="7"/>
      <c r="Q266" s="7"/>
      <c r="W266" s="7"/>
    </row>
    <row r="267">
      <c r="H267" s="7"/>
      <c r="Q267" s="7"/>
      <c r="W267" s="7"/>
    </row>
    <row r="268">
      <c r="H268" s="7"/>
      <c r="Q268" s="7"/>
      <c r="W268" s="7"/>
    </row>
    <row r="269">
      <c r="H269" s="7"/>
      <c r="Q269" s="7"/>
      <c r="W269" s="7"/>
    </row>
    <row r="270">
      <c r="H270" s="7"/>
      <c r="Q270" s="7"/>
      <c r="W270" s="7"/>
    </row>
    <row r="271">
      <c r="H271" s="7"/>
      <c r="Q271" s="7"/>
      <c r="W271" s="7"/>
    </row>
    <row r="272">
      <c r="H272" s="7"/>
      <c r="Q272" s="7"/>
      <c r="W272" s="7"/>
    </row>
    <row r="273">
      <c r="H273" s="7"/>
      <c r="Q273" s="7"/>
      <c r="W273" s="7"/>
    </row>
    <row r="274">
      <c r="H274" s="7"/>
      <c r="Q274" s="7"/>
      <c r="W274" s="7"/>
    </row>
    <row r="275">
      <c r="H275" s="7"/>
      <c r="Q275" s="7"/>
      <c r="W275" s="7"/>
    </row>
    <row r="276">
      <c r="H276" s="7"/>
      <c r="Q276" s="7"/>
      <c r="W276" s="7"/>
    </row>
    <row r="277">
      <c r="H277" s="7"/>
      <c r="Q277" s="7"/>
      <c r="W277" s="7"/>
    </row>
    <row r="278">
      <c r="H278" s="7"/>
      <c r="Q278" s="7"/>
      <c r="W278" s="7"/>
    </row>
    <row r="279">
      <c r="H279" s="7"/>
      <c r="Q279" s="7"/>
      <c r="W279" s="7"/>
    </row>
    <row r="280">
      <c r="H280" s="7"/>
      <c r="Q280" s="7"/>
      <c r="W280" s="7"/>
    </row>
    <row r="281">
      <c r="H281" s="7"/>
      <c r="Q281" s="7"/>
      <c r="W281" s="7"/>
    </row>
    <row r="282">
      <c r="H282" s="7"/>
      <c r="Q282" s="7"/>
      <c r="W282" s="7"/>
    </row>
    <row r="283">
      <c r="H283" s="7"/>
      <c r="Q283" s="7"/>
      <c r="W283" s="7"/>
    </row>
    <row r="284">
      <c r="H284" s="7"/>
      <c r="Q284" s="7"/>
      <c r="W284" s="7"/>
    </row>
    <row r="285">
      <c r="H285" s="7"/>
      <c r="Q285" s="7"/>
      <c r="W285" s="7"/>
    </row>
    <row r="286">
      <c r="H286" s="7"/>
      <c r="Q286" s="7"/>
      <c r="W286" s="7"/>
    </row>
    <row r="287">
      <c r="H287" s="7"/>
      <c r="Q287" s="7"/>
      <c r="W287" s="7"/>
    </row>
    <row r="288">
      <c r="H288" s="7"/>
      <c r="Q288" s="7"/>
      <c r="W288" s="7"/>
    </row>
    <row r="289">
      <c r="H289" s="7"/>
      <c r="Q289" s="7"/>
      <c r="W289" s="7"/>
    </row>
    <row r="290">
      <c r="H290" s="7"/>
      <c r="Q290" s="7"/>
      <c r="W290" s="7"/>
    </row>
    <row r="291">
      <c r="H291" s="7"/>
      <c r="Q291" s="7"/>
      <c r="W291" s="7"/>
    </row>
    <row r="292">
      <c r="H292" s="7"/>
      <c r="Q292" s="7"/>
      <c r="W292" s="7"/>
    </row>
    <row r="293">
      <c r="H293" s="7"/>
      <c r="Q293" s="7"/>
      <c r="W293" s="7"/>
    </row>
    <row r="294">
      <c r="H294" s="7"/>
      <c r="Q294" s="7"/>
      <c r="W294" s="7"/>
    </row>
    <row r="295">
      <c r="H295" s="7"/>
      <c r="Q295" s="7"/>
      <c r="W295" s="7"/>
    </row>
    <row r="296">
      <c r="H296" s="7"/>
      <c r="Q296" s="7"/>
      <c r="W296" s="7"/>
    </row>
    <row r="297">
      <c r="H297" s="7"/>
      <c r="Q297" s="7"/>
      <c r="W297" s="7"/>
    </row>
    <row r="298">
      <c r="H298" s="7"/>
      <c r="Q298" s="7"/>
      <c r="W298" s="7"/>
    </row>
    <row r="299">
      <c r="H299" s="7"/>
      <c r="Q299" s="7"/>
      <c r="W299" s="7"/>
    </row>
    <row r="300">
      <c r="H300" s="7"/>
      <c r="Q300" s="7"/>
      <c r="W300" s="7"/>
    </row>
    <row r="301">
      <c r="H301" s="7"/>
      <c r="Q301" s="7"/>
      <c r="W301" s="7"/>
    </row>
    <row r="302">
      <c r="H302" s="7"/>
      <c r="Q302" s="7"/>
      <c r="W302" s="7"/>
    </row>
    <row r="303">
      <c r="H303" s="7"/>
      <c r="Q303" s="7"/>
      <c r="W303" s="7"/>
    </row>
    <row r="304">
      <c r="H304" s="7"/>
      <c r="Q304" s="7"/>
      <c r="W304" s="7"/>
    </row>
    <row r="305">
      <c r="H305" s="7"/>
      <c r="Q305" s="7"/>
      <c r="W305" s="7"/>
    </row>
    <row r="306">
      <c r="H306" s="7"/>
      <c r="Q306" s="7"/>
      <c r="W306" s="7"/>
    </row>
    <row r="307">
      <c r="H307" s="7"/>
      <c r="Q307" s="7"/>
      <c r="W307" s="7"/>
    </row>
    <row r="308">
      <c r="H308" s="7"/>
      <c r="Q308" s="7"/>
      <c r="W308" s="7"/>
    </row>
    <row r="309">
      <c r="H309" s="7"/>
      <c r="Q309" s="7"/>
      <c r="W309" s="7"/>
    </row>
    <row r="310">
      <c r="H310" s="7"/>
      <c r="Q310" s="7"/>
      <c r="W310" s="7"/>
    </row>
    <row r="311">
      <c r="H311" s="7"/>
      <c r="Q311" s="7"/>
      <c r="W311" s="7"/>
    </row>
    <row r="312">
      <c r="H312" s="7"/>
      <c r="Q312" s="7"/>
      <c r="W312" s="7"/>
    </row>
    <row r="313">
      <c r="H313" s="7"/>
      <c r="Q313" s="7"/>
      <c r="W313" s="7"/>
    </row>
    <row r="314">
      <c r="H314" s="7"/>
      <c r="Q314" s="7"/>
      <c r="W314" s="7"/>
    </row>
    <row r="315">
      <c r="H315" s="7"/>
      <c r="Q315" s="7"/>
      <c r="W315" s="7"/>
    </row>
    <row r="316">
      <c r="H316" s="7"/>
      <c r="Q316" s="7"/>
      <c r="W316" s="7"/>
    </row>
    <row r="317">
      <c r="H317" s="7"/>
      <c r="Q317" s="7"/>
      <c r="W317" s="7"/>
    </row>
    <row r="318">
      <c r="H318" s="7"/>
      <c r="Q318" s="7"/>
      <c r="W318" s="7"/>
    </row>
    <row r="319">
      <c r="H319" s="7"/>
      <c r="Q319" s="7"/>
      <c r="W319" s="7"/>
    </row>
    <row r="320">
      <c r="H320" s="7"/>
      <c r="Q320" s="7"/>
      <c r="W320" s="7"/>
    </row>
    <row r="321">
      <c r="H321" s="7"/>
      <c r="Q321" s="7"/>
      <c r="W321" s="7"/>
    </row>
    <row r="322">
      <c r="H322" s="7"/>
      <c r="Q322" s="7"/>
      <c r="W322" s="7"/>
    </row>
    <row r="323">
      <c r="H323" s="7"/>
      <c r="Q323" s="7"/>
      <c r="W323" s="7"/>
    </row>
    <row r="324">
      <c r="H324" s="7"/>
      <c r="Q324" s="7"/>
      <c r="W324" s="7"/>
    </row>
    <row r="325">
      <c r="H325" s="7"/>
      <c r="Q325" s="7"/>
      <c r="W325" s="7"/>
    </row>
    <row r="326">
      <c r="H326" s="7"/>
      <c r="Q326" s="7"/>
      <c r="W326" s="7"/>
    </row>
    <row r="327">
      <c r="H327" s="7"/>
      <c r="Q327" s="7"/>
      <c r="W327" s="7"/>
    </row>
    <row r="328">
      <c r="H328" s="7"/>
      <c r="Q328" s="7"/>
      <c r="W328" s="7"/>
    </row>
    <row r="329">
      <c r="H329" s="7"/>
      <c r="Q329" s="7"/>
      <c r="W329" s="7"/>
    </row>
    <row r="330">
      <c r="H330" s="7"/>
      <c r="Q330" s="7"/>
      <c r="W330" s="7"/>
    </row>
    <row r="331">
      <c r="H331" s="7"/>
      <c r="Q331" s="7"/>
      <c r="W331" s="7"/>
    </row>
    <row r="332">
      <c r="H332" s="7"/>
      <c r="Q332" s="7"/>
      <c r="W332" s="7"/>
    </row>
    <row r="333">
      <c r="H333" s="7"/>
      <c r="Q333" s="7"/>
      <c r="W333" s="7"/>
    </row>
    <row r="334">
      <c r="H334" s="7"/>
      <c r="Q334" s="7"/>
      <c r="W334" s="7"/>
    </row>
    <row r="335">
      <c r="H335" s="7"/>
      <c r="Q335" s="7"/>
      <c r="W335" s="7"/>
    </row>
    <row r="336">
      <c r="H336" s="7"/>
      <c r="Q336" s="7"/>
      <c r="W336" s="7"/>
    </row>
    <row r="337">
      <c r="H337" s="7"/>
      <c r="Q337" s="7"/>
      <c r="W337" s="7"/>
    </row>
    <row r="338">
      <c r="H338" s="7"/>
      <c r="Q338" s="7"/>
      <c r="W338" s="7"/>
    </row>
    <row r="339">
      <c r="H339" s="7"/>
      <c r="Q339" s="7"/>
      <c r="W339" s="7"/>
    </row>
    <row r="340">
      <c r="H340" s="7"/>
      <c r="Q340" s="7"/>
      <c r="W340" s="7"/>
    </row>
    <row r="341">
      <c r="H341" s="7"/>
      <c r="Q341" s="7"/>
      <c r="W341" s="7"/>
    </row>
    <row r="342">
      <c r="H342" s="7"/>
      <c r="Q342" s="7"/>
      <c r="W342" s="7"/>
    </row>
    <row r="343">
      <c r="H343" s="7"/>
      <c r="Q343" s="7"/>
      <c r="W343" s="7"/>
    </row>
    <row r="344">
      <c r="H344" s="7"/>
      <c r="Q344" s="7"/>
      <c r="W344" s="7"/>
    </row>
    <row r="345">
      <c r="H345" s="7"/>
      <c r="Q345" s="7"/>
      <c r="W345" s="7"/>
    </row>
    <row r="346">
      <c r="H346" s="7"/>
      <c r="Q346" s="7"/>
      <c r="W346" s="7"/>
    </row>
    <row r="347">
      <c r="H347" s="7"/>
      <c r="Q347" s="7"/>
      <c r="W347" s="7"/>
    </row>
    <row r="348">
      <c r="H348" s="7"/>
      <c r="Q348" s="7"/>
      <c r="W348" s="7"/>
    </row>
    <row r="349">
      <c r="H349" s="7"/>
      <c r="Q349" s="7"/>
      <c r="W349" s="7"/>
    </row>
    <row r="350">
      <c r="H350" s="7"/>
      <c r="Q350" s="7"/>
      <c r="W350" s="7"/>
    </row>
    <row r="351">
      <c r="H351" s="7"/>
      <c r="Q351" s="7"/>
      <c r="W351" s="7"/>
    </row>
    <row r="352">
      <c r="H352" s="7"/>
      <c r="Q352" s="7"/>
      <c r="W352" s="7"/>
    </row>
    <row r="353">
      <c r="H353" s="7"/>
      <c r="Q353" s="7"/>
      <c r="W353" s="7"/>
    </row>
    <row r="354">
      <c r="H354" s="7"/>
      <c r="Q354" s="7"/>
      <c r="W354" s="7"/>
    </row>
    <row r="355">
      <c r="H355" s="7"/>
      <c r="Q355" s="7"/>
      <c r="W355" s="7"/>
    </row>
    <row r="356">
      <c r="H356" s="7"/>
      <c r="Q356" s="7"/>
      <c r="W356" s="7"/>
    </row>
    <row r="357">
      <c r="H357" s="7"/>
      <c r="Q357" s="7"/>
      <c r="W357" s="7"/>
    </row>
    <row r="358">
      <c r="H358" s="7"/>
      <c r="Q358" s="7"/>
      <c r="W358" s="7"/>
    </row>
    <row r="359">
      <c r="H359" s="7"/>
      <c r="Q359" s="7"/>
      <c r="W359" s="7"/>
    </row>
    <row r="360">
      <c r="H360" s="7"/>
      <c r="Q360" s="7"/>
      <c r="W360" s="7"/>
    </row>
    <row r="361">
      <c r="H361" s="7"/>
      <c r="Q361" s="7"/>
      <c r="W361" s="7"/>
    </row>
    <row r="362">
      <c r="H362" s="7"/>
      <c r="Q362" s="7"/>
      <c r="W362" s="7"/>
    </row>
    <row r="363">
      <c r="H363" s="7"/>
      <c r="Q363" s="7"/>
      <c r="W363" s="7"/>
    </row>
    <row r="364">
      <c r="H364" s="7"/>
      <c r="Q364" s="7"/>
      <c r="W364" s="7"/>
    </row>
    <row r="365">
      <c r="H365" s="7"/>
      <c r="Q365" s="7"/>
      <c r="W365" s="7"/>
    </row>
    <row r="366">
      <c r="H366" s="7"/>
      <c r="Q366" s="7"/>
      <c r="W366" s="7"/>
    </row>
    <row r="367">
      <c r="H367" s="7"/>
      <c r="Q367" s="7"/>
      <c r="W367" s="7"/>
    </row>
    <row r="368">
      <c r="H368" s="7"/>
      <c r="Q368" s="7"/>
      <c r="W368" s="7"/>
    </row>
    <row r="369">
      <c r="H369" s="7"/>
      <c r="Q369" s="7"/>
      <c r="W369" s="7"/>
    </row>
    <row r="370">
      <c r="H370" s="7"/>
      <c r="Q370" s="7"/>
      <c r="W370" s="7"/>
    </row>
    <row r="371">
      <c r="H371" s="7"/>
      <c r="Q371" s="7"/>
      <c r="W371" s="7"/>
    </row>
    <row r="372">
      <c r="H372" s="7"/>
      <c r="Q372" s="7"/>
      <c r="W372" s="7"/>
    </row>
    <row r="373">
      <c r="H373" s="7"/>
      <c r="Q373" s="7"/>
      <c r="W373" s="7"/>
    </row>
    <row r="374">
      <c r="H374" s="7"/>
      <c r="Q374" s="7"/>
      <c r="W374" s="7"/>
    </row>
    <row r="375">
      <c r="H375" s="7"/>
      <c r="Q375" s="7"/>
      <c r="W375" s="7"/>
    </row>
    <row r="376">
      <c r="H376" s="7"/>
      <c r="Q376" s="7"/>
      <c r="W376" s="7"/>
    </row>
    <row r="377">
      <c r="H377" s="7"/>
      <c r="Q377" s="7"/>
      <c r="W377" s="7"/>
    </row>
    <row r="378">
      <c r="H378" s="7"/>
      <c r="Q378" s="7"/>
      <c r="W378" s="7"/>
    </row>
    <row r="379">
      <c r="H379" s="7"/>
      <c r="Q379" s="7"/>
      <c r="W379" s="7"/>
    </row>
    <row r="380">
      <c r="H380" s="7"/>
      <c r="Q380" s="7"/>
      <c r="W380" s="7"/>
    </row>
    <row r="381">
      <c r="H381" s="7"/>
      <c r="Q381" s="7"/>
      <c r="W381" s="7"/>
    </row>
    <row r="382">
      <c r="H382" s="7"/>
      <c r="Q382" s="7"/>
      <c r="W382" s="7"/>
    </row>
    <row r="383">
      <c r="H383" s="7"/>
      <c r="Q383" s="7"/>
      <c r="W383" s="7"/>
    </row>
    <row r="384">
      <c r="H384" s="7"/>
      <c r="Q384" s="7"/>
      <c r="W384" s="7"/>
    </row>
    <row r="385">
      <c r="H385" s="7"/>
      <c r="Q385" s="7"/>
      <c r="W385" s="7"/>
    </row>
    <row r="386">
      <c r="H386" s="7"/>
      <c r="Q386" s="7"/>
      <c r="W386" s="7"/>
    </row>
    <row r="387">
      <c r="H387" s="7"/>
      <c r="Q387" s="7"/>
      <c r="W387" s="7"/>
    </row>
    <row r="388">
      <c r="H388" s="7"/>
      <c r="Q388" s="7"/>
      <c r="W388" s="7"/>
    </row>
    <row r="389">
      <c r="H389" s="7"/>
      <c r="Q389" s="7"/>
      <c r="W389" s="7"/>
    </row>
    <row r="390">
      <c r="H390" s="7"/>
      <c r="Q390" s="7"/>
      <c r="W390" s="7"/>
    </row>
    <row r="391">
      <c r="H391" s="7"/>
      <c r="Q391" s="7"/>
      <c r="W391" s="7"/>
    </row>
    <row r="392">
      <c r="H392" s="7"/>
      <c r="Q392" s="7"/>
      <c r="W392" s="7"/>
    </row>
    <row r="393">
      <c r="H393" s="7"/>
      <c r="Q393" s="7"/>
      <c r="W393" s="7"/>
    </row>
    <row r="394">
      <c r="H394" s="7"/>
      <c r="Q394" s="7"/>
      <c r="W394" s="7"/>
    </row>
    <row r="395">
      <c r="H395" s="7"/>
      <c r="Q395" s="7"/>
      <c r="W395" s="7"/>
    </row>
    <row r="396">
      <c r="H396" s="7"/>
      <c r="Q396" s="7"/>
      <c r="W396" s="7"/>
    </row>
    <row r="397">
      <c r="H397" s="7"/>
      <c r="Q397" s="7"/>
      <c r="W397" s="7"/>
    </row>
    <row r="398">
      <c r="H398" s="7"/>
      <c r="Q398" s="7"/>
      <c r="W398" s="7"/>
    </row>
    <row r="399">
      <c r="H399" s="7"/>
      <c r="Q399" s="7"/>
      <c r="W399" s="7"/>
    </row>
    <row r="400">
      <c r="H400" s="7"/>
      <c r="Q400" s="7"/>
      <c r="W400" s="7"/>
    </row>
    <row r="401">
      <c r="H401" s="7"/>
      <c r="Q401" s="7"/>
      <c r="W401" s="7"/>
    </row>
    <row r="402">
      <c r="H402" s="7"/>
      <c r="Q402" s="7"/>
      <c r="W402" s="7"/>
    </row>
    <row r="403">
      <c r="H403" s="7"/>
      <c r="Q403" s="7"/>
      <c r="W403" s="7"/>
    </row>
    <row r="404">
      <c r="H404" s="7"/>
      <c r="Q404" s="7"/>
      <c r="W404" s="7"/>
    </row>
    <row r="405">
      <c r="H405" s="7"/>
      <c r="Q405" s="7"/>
      <c r="W405" s="7"/>
    </row>
    <row r="406">
      <c r="H406" s="7"/>
      <c r="Q406" s="7"/>
      <c r="W406" s="7"/>
    </row>
    <row r="407">
      <c r="H407" s="7"/>
      <c r="Q407" s="7"/>
      <c r="W407" s="7"/>
    </row>
    <row r="408">
      <c r="H408" s="7"/>
      <c r="Q408" s="7"/>
      <c r="W408" s="7"/>
    </row>
    <row r="409">
      <c r="H409" s="7"/>
      <c r="Q409" s="7"/>
      <c r="W409" s="7"/>
    </row>
    <row r="410">
      <c r="H410" s="7"/>
      <c r="Q410" s="7"/>
      <c r="W410" s="7"/>
    </row>
    <row r="411">
      <c r="H411" s="7"/>
      <c r="Q411" s="7"/>
      <c r="W411" s="7"/>
    </row>
    <row r="412">
      <c r="H412" s="7"/>
      <c r="Q412" s="7"/>
      <c r="W412" s="7"/>
    </row>
    <row r="413">
      <c r="H413" s="7"/>
      <c r="Q413" s="7"/>
      <c r="W413" s="7"/>
    </row>
    <row r="414">
      <c r="H414" s="7"/>
      <c r="Q414" s="7"/>
      <c r="W414" s="7"/>
    </row>
    <row r="415">
      <c r="H415" s="7"/>
      <c r="Q415" s="7"/>
      <c r="W415" s="7"/>
    </row>
    <row r="416">
      <c r="H416" s="7"/>
      <c r="Q416" s="7"/>
      <c r="W416" s="7"/>
    </row>
    <row r="417">
      <c r="H417" s="7"/>
      <c r="Q417" s="7"/>
      <c r="W417" s="7"/>
    </row>
    <row r="418">
      <c r="H418" s="7"/>
      <c r="Q418" s="7"/>
      <c r="W418" s="7"/>
    </row>
    <row r="419">
      <c r="H419" s="7"/>
      <c r="Q419" s="7"/>
      <c r="W419" s="7"/>
    </row>
    <row r="420">
      <c r="H420" s="7"/>
      <c r="Q420" s="7"/>
      <c r="W420" s="7"/>
    </row>
    <row r="421">
      <c r="H421" s="7"/>
      <c r="Q421" s="7"/>
      <c r="W421" s="7"/>
    </row>
    <row r="422">
      <c r="H422" s="7"/>
      <c r="Q422" s="7"/>
      <c r="W422" s="7"/>
    </row>
    <row r="423">
      <c r="H423" s="7"/>
      <c r="Q423" s="7"/>
      <c r="W423" s="7"/>
    </row>
    <row r="424">
      <c r="H424" s="7"/>
      <c r="Q424" s="7"/>
      <c r="W424" s="7"/>
    </row>
    <row r="425">
      <c r="H425" s="7"/>
      <c r="Q425" s="7"/>
      <c r="W425" s="7"/>
    </row>
    <row r="426">
      <c r="H426" s="7"/>
      <c r="Q426" s="7"/>
      <c r="W426" s="7"/>
    </row>
    <row r="427">
      <c r="H427" s="7"/>
      <c r="Q427" s="7"/>
      <c r="W427" s="7"/>
    </row>
    <row r="428">
      <c r="H428" s="7"/>
      <c r="Q428" s="7"/>
      <c r="W428" s="7"/>
    </row>
    <row r="429">
      <c r="H429" s="7"/>
      <c r="Q429" s="7"/>
      <c r="W429" s="7"/>
    </row>
    <row r="430">
      <c r="H430" s="7"/>
      <c r="Q430" s="7"/>
      <c r="W430" s="7"/>
    </row>
    <row r="431">
      <c r="H431" s="7"/>
      <c r="Q431" s="7"/>
      <c r="W431" s="7"/>
    </row>
    <row r="432">
      <c r="H432" s="7"/>
      <c r="Q432" s="7"/>
      <c r="W432" s="7"/>
    </row>
    <row r="433">
      <c r="H433" s="7"/>
      <c r="Q433" s="7"/>
      <c r="W433" s="7"/>
    </row>
    <row r="434">
      <c r="H434" s="7"/>
      <c r="Q434" s="7"/>
      <c r="W434" s="7"/>
    </row>
    <row r="435">
      <c r="H435" s="7"/>
      <c r="Q435" s="7"/>
      <c r="W435" s="7"/>
    </row>
    <row r="436">
      <c r="H436" s="7"/>
      <c r="Q436" s="7"/>
      <c r="W436" s="7"/>
    </row>
    <row r="437">
      <c r="H437" s="7"/>
      <c r="Q437" s="7"/>
      <c r="W437" s="7"/>
    </row>
    <row r="438">
      <c r="H438" s="7"/>
      <c r="Q438" s="7"/>
      <c r="W438" s="7"/>
    </row>
    <row r="439">
      <c r="H439" s="7"/>
      <c r="Q439" s="7"/>
      <c r="W439" s="7"/>
    </row>
    <row r="440">
      <c r="H440" s="7"/>
      <c r="Q440" s="7"/>
      <c r="W440" s="7"/>
    </row>
    <row r="441">
      <c r="H441" s="7"/>
      <c r="Q441" s="7"/>
      <c r="W441" s="7"/>
    </row>
    <row r="442">
      <c r="H442" s="7"/>
      <c r="Q442" s="7"/>
      <c r="W442" s="7"/>
    </row>
    <row r="443">
      <c r="H443" s="7"/>
      <c r="Q443" s="7"/>
      <c r="W443" s="7"/>
    </row>
    <row r="444">
      <c r="H444" s="7"/>
      <c r="Q444" s="7"/>
      <c r="W444" s="7"/>
    </row>
    <row r="445">
      <c r="H445" s="7"/>
      <c r="Q445" s="7"/>
      <c r="W445" s="7"/>
    </row>
    <row r="446">
      <c r="H446" s="7"/>
      <c r="Q446" s="7"/>
      <c r="W446" s="7"/>
    </row>
    <row r="447">
      <c r="H447" s="7"/>
      <c r="Q447" s="7"/>
      <c r="W447" s="7"/>
    </row>
    <row r="448">
      <c r="H448" s="7"/>
      <c r="Q448" s="7"/>
      <c r="W448" s="7"/>
    </row>
    <row r="449">
      <c r="H449" s="7"/>
      <c r="Q449" s="7"/>
      <c r="W449" s="7"/>
    </row>
    <row r="450">
      <c r="H450" s="7"/>
      <c r="Q450" s="7"/>
      <c r="W450" s="7"/>
    </row>
    <row r="451">
      <c r="H451" s="7"/>
      <c r="Q451" s="7"/>
      <c r="W451" s="7"/>
    </row>
    <row r="452">
      <c r="H452" s="7"/>
      <c r="Q452" s="7"/>
      <c r="W452" s="7"/>
    </row>
    <row r="453">
      <c r="H453" s="7"/>
      <c r="Q453" s="7"/>
      <c r="W453" s="7"/>
    </row>
    <row r="454">
      <c r="H454" s="7"/>
      <c r="Q454" s="7"/>
      <c r="W454" s="7"/>
    </row>
    <row r="455">
      <c r="H455" s="7"/>
      <c r="Q455" s="7"/>
      <c r="W455" s="7"/>
    </row>
    <row r="456">
      <c r="H456" s="7"/>
      <c r="Q456" s="7"/>
      <c r="W456" s="7"/>
    </row>
    <row r="457">
      <c r="H457" s="7"/>
      <c r="Q457" s="7"/>
      <c r="W457" s="7"/>
    </row>
    <row r="458">
      <c r="H458" s="7"/>
      <c r="Q458" s="7"/>
      <c r="W458" s="7"/>
    </row>
    <row r="459">
      <c r="H459" s="7"/>
      <c r="Q459" s="7"/>
      <c r="W459" s="7"/>
    </row>
    <row r="460">
      <c r="H460" s="7"/>
      <c r="Q460" s="7"/>
      <c r="W460" s="7"/>
    </row>
    <row r="461">
      <c r="H461" s="7"/>
      <c r="Q461" s="7"/>
      <c r="W461" s="7"/>
    </row>
    <row r="462">
      <c r="H462" s="7"/>
      <c r="Q462" s="7"/>
      <c r="W462" s="7"/>
    </row>
    <row r="463">
      <c r="H463" s="7"/>
      <c r="Q463" s="7"/>
      <c r="W463" s="7"/>
    </row>
    <row r="464">
      <c r="H464" s="7"/>
      <c r="Q464" s="7"/>
      <c r="W464" s="7"/>
    </row>
    <row r="465">
      <c r="H465" s="7"/>
      <c r="Q465" s="7"/>
      <c r="W465" s="7"/>
    </row>
    <row r="466">
      <c r="H466" s="7"/>
      <c r="Q466" s="7"/>
      <c r="W466" s="7"/>
    </row>
    <row r="467">
      <c r="H467" s="7"/>
      <c r="Q467" s="7"/>
      <c r="W467" s="7"/>
    </row>
    <row r="468">
      <c r="H468" s="7"/>
      <c r="Q468" s="7"/>
      <c r="W468" s="7"/>
    </row>
    <row r="469">
      <c r="H469" s="7"/>
      <c r="Q469" s="7"/>
      <c r="W469" s="7"/>
    </row>
    <row r="470">
      <c r="H470" s="7"/>
      <c r="Q470" s="7"/>
      <c r="W470" s="7"/>
    </row>
    <row r="471">
      <c r="H471" s="7"/>
      <c r="Q471" s="7"/>
      <c r="W471" s="7"/>
    </row>
    <row r="472">
      <c r="H472" s="7"/>
      <c r="Q472" s="7"/>
      <c r="W472" s="7"/>
    </row>
    <row r="473">
      <c r="H473" s="7"/>
      <c r="Q473" s="7"/>
      <c r="W473" s="7"/>
    </row>
    <row r="474">
      <c r="H474" s="7"/>
      <c r="Q474" s="7"/>
      <c r="W474" s="7"/>
    </row>
    <row r="475">
      <c r="H475" s="7"/>
      <c r="Q475" s="7"/>
      <c r="W475" s="7"/>
    </row>
    <row r="476">
      <c r="H476" s="7"/>
      <c r="Q476" s="7"/>
      <c r="W476" s="7"/>
    </row>
    <row r="477">
      <c r="H477" s="7"/>
      <c r="Q477" s="7"/>
      <c r="W477" s="7"/>
    </row>
    <row r="478">
      <c r="H478" s="7"/>
      <c r="Q478" s="7"/>
      <c r="W478" s="7"/>
    </row>
    <row r="479">
      <c r="H479" s="7"/>
      <c r="Q479" s="7"/>
      <c r="W479" s="7"/>
    </row>
    <row r="480">
      <c r="H480" s="7"/>
      <c r="Q480" s="7"/>
      <c r="W480" s="7"/>
    </row>
    <row r="481">
      <c r="H481" s="7"/>
      <c r="Q481" s="7"/>
      <c r="W481" s="7"/>
    </row>
    <row r="482">
      <c r="H482" s="7"/>
      <c r="Q482" s="7"/>
      <c r="W482" s="7"/>
    </row>
    <row r="483">
      <c r="H483" s="7"/>
      <c r="Q483" s="7"/>
      <c r="W483" s="7"/>
    </row>
    <row r="484">
      <c r="H484" s="7"/>
      <c r="Q484" s="7"/>
      <c r="W484" s="7"/>
    </row>
    <row r="485">
      <c r="H485" s="7"/>
      <c r="Q485" s="7"/>
      <c r="W485" s="7"/>
    </row>
    <row r="486">
      <c r="H486" s="7"/>
      <c r="Q486" s="7"/>
      <c r="W486" s="7"/>
    </row>
    <row r="487">
      <c r="H487" s="7"/>
      <c r="Q487" s="7"/>
      <c r="W487" s="7"/>
    </row>
    <row r="488">
      <c r="H488" s="7"/>
      <c r="Q488" s="7"/>
      <c r="W488" s="7"/>
    </row>
    <row r="489">
      <c r="H489" s="7"/>
      <c r="Q489" s="7"/>
      <c r="W489" s="7"/>
    </row>
    <row r="490">
      <c r="H490" s="7"/>
      <c r="Q490" s="7"/>
      <c r="W490" s="7"/>
    </row>
    <row r="491">
      <c r="H491" s="7"/>
      <c r="Q491" s="7"/>
      <c r="W491" s="7"/>
    </row>
    <row r="492">
      <c r="H492" s="7"/>
      <c r="Q492" s="7"/>
      <c r="W492" s="7"/>
    </row>
    <row r="493">
      <c r="H493" s="7"/>
      <c r="Q493" s="7"/>
      <c r="W493" s="7"/>
    </row>
    <row r="494">
      <c r="H494" s="7"/>
      <c r="Q494" s="7"/>
      <c r="W494" s="7"/>
    </row>
    <row r="495">
      <c r="H495" s="7"/>
      <c r="Q495" s="7"/>
      <c r="W495" s="7"/>
    </row>
    <row r="496">
      <c r="H496" s="7"/>
      <c r="Q496" s="7"/>
      <c r="W496" s="7"/>
    </row>
    <row r="497">
      <c r="H497" s="7"/>
      <c r="Q497" s="7"/>
      <c r="W497" s="7"/>
    </row>
    <row r="498">
      <c r="H498" s="7"/>
      <c r="Q498" s="7"/>
      <c r="W498" s="7"/>
    </row>
    <row r="499">
      <c r="H499" s="7"/>
      <c r="Q499" s="7"/>
      <c r="W499" s="7"/>
    </row>
    <row r="500">
      <c r="H500" s="7"/>
      <c r="Q500" s="7"/>
      <c r="W500" s="7"/>
    </row>
    <row r="501">
      <c r="H501" s="7"/>
      <c r="Q501" s="7"/>
      <c r="W501" s="7"/>
    </row>
    <row r="502">
      <c r="H502" s="7"/>
      <c r="Q502" s="7"/>
      <c r="W502" s="7"/>
    </row>
    <row r="503">
      <c r="H503" s="7"/>
      <c r="Q503" s="7"/>
      <c r="W503" s="7"/>
    </row>
    <row r="504">
      <c r="H504" s="7"/>
      <c r="Q504" s="7"/>
      <c r="W504" s="7"/>
    </row>
    <row r="505">
      <c r="H505" s="7"/>
      <c r="Q505" s="7"/>
      <c r="W505" s="7"/>
    </row>
    <row r="506">
      <c r="H506" s="7"/>
      <c r="Q506" s="7"/>
      <c r="W506" s="7"/>
    </row>
    <row r="507">
      <c r="H507" s="7"/>
      <c r="Q507" s="7"/>
      <c r="W507" s="7"/>
    </row>
    <row r="508">
      <c r="H508" s="7"/>
      <c r="Q508" s="7"/>
      <c r="W508" s="7"/>
    </row>
    <row r="509">
      <c r="H509" s="7"/>
      <c r="Q509" s="7"/>
      <c r="W509" s="7"/>
    </row>
    <row r="510">
      <c r="H510" s="7"/>
      <c r="Q510" s="7"/>
      <c r="W510" s="7"/>
    </row>
    <row r="511">
      <c r="H511" s="7"/>
      <c r="Q511" s="7"/>
      <c r="W511" s="7"/>
    </row>
    <row r="512">
      <c r="H512" s="7"/>
      <c r="Q512" s="7"/>
      <c r="W512" s="7"/>
    </row>
    <row r="513">
      <c r="H513" s="7"/>
      <c r="Q513" s="7"/>
      <c r="W513" s="7"/>
    </row>
    <row r="514">
      <c r="H514" s="7"/>
      <c r="Q514" s="7"/>
      <c r="W514" s="7"/>
    </row>
    <row r="515">
      <c r="H515" s="7"/>
      <c r="Q515" s="7"/>
      <c r="W515" s="7"/>
    </row>
    <row r="516">
      <c r="H516" s="7"/>
      <c r="Q516" s="7"/>
      <c r="W516" s="7"/>
    </row>
    <row r="517">
      <c r="H517" s="7"/>
      <c r="Q517" s="7"/>
      <c r="W517" s="7"/>
    </row>
    <row r="518">
      <c r="H518" s="7"/>
      <c r="Q518" s="7"/>
      <c r="W518" s="7"/>
    </row>
    <row r="519">
      <c r="H519" s="7"/>
      <c r="Q519" s="7"/>
      <c r="W519" s="7"/>
    </row>
    <row r="520">
      <c r="H520" s="7"/>
      <c r="Q520" s="7"/>
      <c r="W520" s="7"/>
    </row>
    <row r="521">
      <c r="H521" s="7"/>
      <c r="Q521" s="7"/>
      <c r="W521" s="7"/>
    </row>
    <row r="522">
      <c r="H522" s="7"/>
      <c r="Q522" s="7"/>
      <c r="W522" s="7"/>
    </row>
    <row r="523">
      <c r="H523" s="7"/>
      <c r="Q523" s="7"/>
      <c r="W523" s="7"/>
    </row>
    <row r="524">
      <c r="H524" s="7"/>
      <c r="Q524" s="7"/>
      <c r="W524" s="7"/>
    </row>
    <row r="525">
      <c r="H525" s="7"/>
      <c r="Q525" s="7"/>
      <c r="W525" s="7"/>
    </row>
    <row r="526">
      <c r="H526" s="7"/>
      <c r="Q526" s="7"/>
      <c r="W526" s="7"/>
    </row>
    <row r="527">
      <c r="H527" s="7"/>
      <c r="Q527" s="7"/>
      <c r="W527" s="7"/>
    </row>
    <row r="528">
      <c r="H528" s="7"/>
      <c r="Q528" s="7"/>
      <c r="W528" s="7"/>
    </row>
    <row r="529">
      <c r="H529" s="7"/>
      <c r="Q529" s="7"/>
      <c r="W529" s="7"/>
    </row>
    <row r="530">
      <c r="H530" s="7"/>
      <c r="Q530" s="7"/>
      <c r="W530" s="7"/>
    </row>
    <row r="531">
      <c r="H531" s="7"/>
      <c r="Q531" s="7"/>
      <c r="W531" s="7"/>
    </row>
    <row r="532">
      <c r="H532" s="7"/>
      <c r="Q532" s="7"/>
      <c r="W532" s="7"/>
    </row>
    <row r="533">
      <c r="H533" s="7"/>
      <c r="Q533" s="7"/>
      <c r="W533" s="7"/>
    </row>
    <row r="534">
      <c r="H534" s="7"/>
      <c r="Q534" s="7"/>
      <c r="W534" s="7"/>
    </row>
    <row r="535">
      <c r="H535" s="7"/>
      <c r="Q535" s="7"/>
      <c r="W535" s="7"/>
    </row>
    <row r="536">
      <c r="H536" s="7"/>
      <c r="Q536" s="7"/>
      <c r="W536" s="7"/>
    </row>
    <row r="537">
      <c r="H537" s="7"/>
      <c r="Q537" s="7"/>
      <c r="W537" s="7"/>
    </row>
    <row r="538">
      <c r="H538" s="7"/>
      <c r="Q538" s="7"/>
      <c r="W538" s="7"/>
    </row>
    <row r="539">
      <c r="H539" s="7"/>
      <c r="Q539" s="7"/>
      <c r="W539" s="7"/>
    </row>
    <row r="540">
      <c r="H540" s="7"/>
      <c r="Q540" s="7"/>
      <c r="W540" s="7"/>
    </row>
    <row r="541">
      <c r="H541" s="7"/>
      <c r="Q541" s="7"/>
      <c r="W541" s="7"/>
    </row>
    <row r="542">
      <c r="H542" s="7"/>
      <c r="Q542" s="7"/>
      <c r="W542" s="7"/>
    </row>
    <row r="543">
      <c r="H543" s="7"/>
      <c r="Q543" s="7"/>
      <c r="W543" s="7"/>
    </row>
    <row r="544">
      <c r="H544" s="7"/>
      <c r="Q544" s="7"/>
      <c r="W544" s="7"/>
    </row>
    <row r="545">
      <c r="H545" s="7"/>
      <c r="Q545" s="7"/>
      <c r="W545" s="7"/>
    </row>
    <row r="546">
      <c r="H546" s="7"/>
      <c r="Q546" s="7"/>
      <c r="W546" s="7"/>
    </row>
    <row r="547">
      <c r="H547" s="7"/>
      <c r="Q547" s="7"/>
      <c r="W547" s="7"/>
    </row>
    <row r="548">
      <c r="H548" s="7"/>
      <c r="Q548" s="7"/>
      <c r="W548" s="7"/>
    </row>
    <row r="549">
      <c r="H549" s="7"/>
      <c r="Q549" s="7"/>
      <c r="W549" s="7"/>
    </row>
    <row r="550">
      <c r="H550" s="7"/>
      <c r="Q550" s="7"/>
      <c r="W550" s="7"/>
    </row>
    <row r="551">
      <c r="H551" s="7"/>
      <c r="Q551" s="7"/>
      <c r="W551" s="7"/>
    </row>
    <row r="552">
      <c r="H552" s="7"/>
      <c r="Q552" s="7"/>
      <c r="W552" s="7"/>
    </row>
    <row r="553">
      <c r="H553" s="7"/>
      <c r="Q553" s="7"/>
      <c r="W553" s="7"/>
    </row>
    <row r="554">
      <c r="H554" s="7"/>
      <c r="Q554" s="7"/>
      <c r="W554" s="7"/>
    </row>
    <row r="555">
      <c r="H555" s="7"/>
      <c r="Q555" s="7"/>
      <c r="W555" s="7"/>
    </row>
    <row r="556">
      <c r="H556" s="7"/>
      <c r="Q556" s="7"/>
      <c r="W556" s="7"/>
    </row>
    <row r="557">
      <c r="H557" s="7"/>
      <c r="Q557" s="7"/>
      <c r="W557" s="7"/>
    </row>
    <row r="558">
      <c r="H558" s="7"/>
      <c r="Q558" s="7"/>
      <c r="W558" s="7"/>
    </row>
    <row r="559">
      <c r="H559" s="7"/>
      <c r="Q559" s="7"/>
      <c r="W559" s="7"/>
    </row>
    <row r="560">
      <c r="H560" s="7"/>
      <c r="Q560" s="7"/>
      <c r="W560" s="7"/>
    </row>
    <row r="561">
      <c r="H561" s="7"/>
      <c r="Q561" s="7"/>
      <c r="W561" s="7"/>
    </row>
    <row r="562">
      <c r="H562" s="7"/>
      <c r="Q562" s="7"/>
      <c r="W562" s="7"/>
    </row>
    <row r="563">
      <c r="H563" s="7"/>
      <c r="Q563" s="7"/>
      <c r="W563" s="7"/>
    </row>
    <row r="564">
      <c r="H564" s="7"/>
      <c r="Q564" s="7"/>
      <c r="W564" s="7"/>
    </row>
    <row r="565">
      <c r="H565" s="7"/>
      <c r="Q565" s="7"/>
      <c r="W565" s="7"/>
    </row>
    <row r="566">
      <c r="H566" s="7"/>
      <c r="Q566" s="7"/>
      <c r="W566" s="7"/>
    </row>
    <row r="567">
      <c r="H567" s="7"/>
      <c r="Q567" s="7"/>
      <c r="W567" s="7"/>
    </row>
    <row r="568">
      <c r="H568" s="7"/>
      <c r="Q568" s="7"/>
      <c r="W568" s="7"/>
    </row>
    <row r="569">
      <c r="H569" s="7"/>
      <c r="Q569" s="7"/>
      <c r="W569" s="7"/>
    </row>
    <row r="570">
      <c r="H570" s="7"/>
      <c r="Q570" s="7"/>
      <c r="W570" s="7"/>
    </row>
    <row r="571">
      <c r="H571" s="7"/>
      <c r="Q571" s="7"/>
      <c r="W571" s="7"/>
    </row>
    <row r="572">
      <c r="H572" s="7"/>
      <c r="Q572" s="7"/>
      <c r="W572" s="7"/>
    </row>
    <row r="573">
      <c r="H573" s="7"/>
      <c r="Q573" s="7"/>
      <c r="W573" s="7"/>
    </row>
    <row r="574">
      <c r="H574" s="7"/>
      <c r="Q574" s="7"/>
      <c r="W574" s="7"/>
    </row>
    <row r="575">
      <c r="H575" s="7"/>
      <c r="Q575" s="7"/>
      <c r="W575" s="7"/>
    </row>
    <row r="576">
      <c r="H576" s="7"/>
      <c r="Q576" s="7"/>
      <c r="W576" s="7"/>
    </row>
    <row r="577">
      <c r="H577" s="7"/>
      <c r="Q577" s="7"/>
      <c r="W577" s="7"/>
    </row>
    <row r="578">
      <c r="H578" s="7"/>
      <c r="Q578" s="7"/>
      <c r="W578" s="7"/>
    </row>
    <row r="579">
      <c r="H579" s="7"/>
      <c r="Q579" s="7"/>
      <c r="W579" s="7"/>
    </row>
    <row r="580">
      <c r="H580" s="7"/>
      <c r="Q580" s="7"/>
      <c r="W580" s="7"/>
    </row>
    <row r="581">
      <c r="H581" s="7"/>
      <c r="Q581" s="7"/>
      <c r="W581" s="7"/>
    </row>
    <row r="582">
      <c r="H582" s="7"/>
      <c r="Q582" s="7"/>
      <c r="W582" s="7"/>
    </row>
    <row r="583">
      <c r="H583" s="7"/>
      <c r="Q583" s="7"/>
      <c r="W583" s="7"/>
    </row>
    <row r="584">
      <c r="H584" s="7"/>
      <c r="Q584" s="7"/>
      <c r="W584" s="7"/>
    </row>
    <row r="585">
      <c r="H585" s="7"/>
      <c r="Q585" s="7"/>
      <c r="W585" s="7"/>
    </row>
    <row r="586">
      <c r="H586" s="7"/>
      <c r="Q586" s="7"/>
      <c r="W586" s="7"/>
    </row>
    <row r="587">
      <c r="H587" s="7"/>
      <c r="Q587" s="7"/>
      <c r="W587" s="7"/>
    </row>
    <row r="588">
      <c r="H588" s="7"/>
      <c r="Q588" s="7"/>
      <c r="W588" s="7"/>
    </row>
    <row r="589">
      <c r="H589" s="7"/>
      <c r="Q589" s="7"/>
      <c r="W589" s="7"/>
    </row>
    <row r="590">
      <c r="H590" s="7"/>
      <c r="Q590" s="7"/>
      <c r="W590" s="7"/>
    </row>
    <row r="591">
      <c r="H591" s="7"/>
      <c r="Q591" s="7"/>
      <c r="W591" s="7"/>
    </row>
    <row r="592">
      <c r="H592" s="7"/>
      <c r="Q592" s="7"/>
      <c r="W592" s="7"/>
    </row>
    <row r="593">
      <c r="H593" s="7"/>
      <c r="Q593" s="7"/>
      <c r="W593" s="7"/>
    </row>
    <row r="594">
      <c r="H594" s="7"/>
      <c r="Q594" s="7"/>
      <c r="W594" s="7"/>
    </row>
    <row r="595">
      <c r="H595" s="7"/>
      <c r="Q595" s="7"/>
      <c r="W595" s="7"/>
    </row>
    <row r="596">
      <c r="H596" s="7"/>
      <c r="Q596" s="7"/>
      <c r="W596" s="7"/>
    </row>
    <row r="597">
      <c r="H597" s="7"/>
      <c r="Q597" s="7"/>
      <c r="W597" s="7"/>
    </row>
    <row r="598">
      <c r="H598" s="7"/>
      <c r="Q598" s="7"/>
      <c r="W598" s="7"/>
    </row>
    <row r="599">
      <c r="H599" s="7"/>
      <c r="Q599" s="7"/>
      <c r="W599" s="7"/>
    </row>
    <row r="600">
      <c r="H600" s="7"/>
      <c r="Q600" s="7"/>
      <c r="W600" s="7"/>
    </row>
    <row r="601">
      <c r="H601" s="7"/>
      <c r="Q601" s="7"/>
      <c r="W601" s="7"/>
    </row>
    <row r="602">
      <c r="H602" s="7"/>
      <c r="Q602" s="7"/>
      <c r="W602" s="7"/>
    </row>
    <row r="603">
      <c r="H603" s="7"/>
      <c r="Q603" s="7"/>
      <c r="W603" s="7"/>
    </row>
    <row r="604">
      <c r="H604" s="7"/>
      <c r="Q604" s="7"/>
      <c r="W604" s="7"/>
    </row>
    <row r="605">
      <c r="H605" s="7"/>
      <c r="Q605" s="7"/>
      <c r="W605" s="7"/>
    </row>
    <row r="606">
      <c r="H606" s="7"/>
      <c r="Q606" s="7"/>
      <c r="W606" s="7"/>
    </row>
    <row r="607">
      <c r="H607" s="7"/>
      <c r="Q607" s="7"/>
      <c r="W607" s="7"/>
    </row>
    <row r="608">
      <c r="H608" s="7"/>
      <c r="Q608" s="7"/>
      <c r="W608" s="7"/>
    </row>
    <row r="609">
      <c r="H609" s="7"/>
      <c r="Q609" s="7"/>
      <c r="W609" s="7"/>
    </row>
    <row r="610">
      <c r="H610" s="7"/>
      <c r="Q610" s="7"/>
      <c r="W610" s="7"/>
    </row>
    <row r="611">
      <c r="H611" s="7"/>
      <c r="Q611" s="7"/>
      <c r="W611" s="7"/>
    </row>
    <row r="612">
      <c r="H612" s="7"/>
      <c r="Q612" s="7"/>
      <c r="W612" s="7"/>
    </row>
    <row r="613">
      <c r="H613" s="7"/>
      <c r="Q613" s="7"/>
      <c r="W613" s="7"/>
    </row>
    <row r="614">
      <c r="H614" s="7"/>
      <c r="Q614" s="7"/>
      <c r="W614" s="7"/>
    </row>
    <row r="615">
      <c r="H615" s="7"/>
      <c r="Q615" s="7"/>
      <c r="W615" s="7"/>
    </row>
    <row r="616">
      <c r="H616" s="7"/>
      <c r="Q616" s="7"/>
      <c r="W616" s="7"/>
    </row>
    <row r="617">
      <c r="H617" s="7"/>
      <c r="Q617" s="7"/>
      <c r="W617" s="7"/>
    </row>
    <row r="618">
      <c r="H618" s="7"/>
      <c r="Q618" s="7"/>
      <c r="W618" s="7"/>
    </row>
    <row r="619">
      <c r="H619" s="7"/>
      <c r="Q619" s="7"/>
      <c r="W619" s="7"/>
    </row>
    <row r="620">
      <c r="H620" s="7"/>
      <c r="Q620" s="7"/>
      <c r="W620" s="7"/>
    </row>
    <row r="621">
      <c r="H621" s="7"/>
      <c r="Q621" s="7"/>
      <c r="W621" s="7"/>
    </row>
    <row r="622">
      <c r="H622" s="7"/>
      <c r="Q622" s="7"/>
      <c r="W622" s="7"/>
    </row>
    <row r="623">
      <c r="H623" s="7"/>
      <c r="Q623" s="7"/>
      <c r="W623" s="7"/>
    </row>
    <row r="624">
      <c r="H624" s="7"/>
      <c r="Q624" s="7"/>
      <c r="W624" s="7"/>
    </row>
    <row r="625">
      <c r="H625" s="7"/>
      <c r="Q625" s="7"/>
      <c r="W625" s="7"/>
    </row>
    <row r="626">
      <c r="H626" s="7"/>
      <c r="Q626" s="7"/>
      <c r="W626" s="7"/>
    </row>
    <row r="627">
      <c r="H627" s="7"/>
      <c r="Q627" s="7"/>
      <c r="W627" s="7"/>
    </row>
    <row r="628">
      <c r="H628" s="7"/>
      <c r="Q628" s="7"/>
      <c r="W628" s="7"/>
    </row>
    <row r="629">
      <c r="H629" s="7"/>
      <c r="Q629" s="7"/>
      <c r="W629" s="7"/>
    </row>
    <row r="630">
      <c r="H630" s="7"/>
      <c r="Q630" s="7"/>
      <c r="W630" s="7"/>
    </row>
    <row r="631">
      <c r="H631" s="7"/>
      <c r="Q631" s="7"/>
      <c r="W631" s="7"/>
    </row>
    <row r="632">
      <c r="H632" s="7"/>
      <c r="Q632" s="7"/>
      <c r="W632" s="7"/>
    </row>
    <row r="633">
      <c r="H633" s="7"/>
      <c r="Q633" s="7"/>
      <c r="W633" s="7"/>
    </row>
    <row r="634">
      <c r="H634" s="7"/>
      <c r="Q634" s="7"/>
      <c r="W634" s="7"/>
    </row>
    <row r="635">
      <c r="H635" s="7"/>
      <c r="Q635" s="7"/>
      <c r="W635" s="7"/>
    </row>
    <row r="636">
      <c r="H636" s="7"/>
      <c r="Q636" s="7"/>
      <c r="W636" s="7"/>
    </row>
    <row r="637">
      <c r="H637" s="7"/>
      <c r="Q637" s="7"/>
      <c r="W637" s="7"/>
    </row>
    <row r="638">
      <c r="H638" s="7"/>
      <c r="Q638" s="7"/>
      <c r="W638" s="7"/>
    </row>
    <row r="639">
      <c r="H639" s="7"/>
      <c r="Q639" s="7"/>
      <c r="W639" s="7"/>
    </row>
    <row r="640">
      <c r="H640" s="7"/>
      <c r="Q640" s="7"/>
      <c r="W640" s="7"/>
    </row>
    <row r="641">
      <c r="H641" s="7"/>
      <c r="Q641" s="7"/>
      <c r="W641" s="7"/>
    </row>
    <row r="642">
      <c r="H642" s="7"/>
      <c r="Q642" s="7"/>
      <c r="W642" s="7"/>
    </row>
    <row r="643">
      <c r="H643" s="7"/>
      <c r="Q643" s="7"/>
      <c r="W643" s="7"/>
    </row>
    <row r="644">
      <c r="H644" s="7"/>
      <c r="Q644" s="7"/>
      <c r="W644" s="7"/>
    </row>
    <row r="645">
      <c r="H645" s="7"/>
      <c r="Q645" s="7"/>
      <c r="W645" s="7"/>
    </row>
    <row r="646">
      <c r="H646" s="7"/>
      <c r="Q646" s="7"/>
      <c r="W646" s="7"/>
    </row>
    <row r="647">
      <c r="H647" s="7"/>
      <c r="Q647" s="7"/>
      <c r="W647" s="7"/>
    </row>
    <row r="648">
      <c r="H648" s="7"/>
      <c r="Q648" s="7"/>
      <c r="W648" s="7"/>
    </row>
    <row r="649">
      <c r="H649" s="7"/>
      <c r="Q649" s="7"/>
      <c r="W649" s="7"/>
    </row>
    <row r="650">
      <c r="H650" s="7"/>
      <c r="Q650" s="7"/>
      <c r="W650" s="7"/>
    </row>
    <row r="651">
      <c r="H651" s="7"/>
      <c r="Q651" s="7"/>
      <c r="W651" s="7"/>
    </row>
    <row r="652">
      <c r="H652" s="7"/>
      <c r="Q652" s="7"/>
      <c r="W652" s="7"/>
    </row>
    <row r="653">
      <c r="H653" s="7"/>
      <c r="Q653" s="7"/>
      <c r="W653" s="7"/>
    </row>
    <row r="654">
      <c r="H654" s="7"/>
      <c r="Q654" s="7"/>
      <c r="W654" s="7"/>
    </row>
    <row r="655">
      <c r="H655" s="7"/>
      <c r="Q655" s="7"/>
      <c r="W655" s="7"/>
    </row>
    <row r="656">
      <c r="H656" s="7"/>
      <c r="Q656" s="7"/>
      <c r="W656" s="7"/>
    </row>
    <row r="657">
      <c r="H657" s="7"/>
      <c r="Q657" s="7"/>
      <c r="W657" s="7"/>
    </row>
    <row r="658">
      <c r="H658" s="7"/>
      <c r="Q658" s="7"/>
      <c r="W658" s="7"/>
    </row>
    <row r="659">
      <c r="H659" s="7"/>
      <c r="Q659" s="7"/>
      <c r="W659" s="7"/>
    </row>
    <row r="660">
      <c r="H660" s="7"/>
      <c r="Q660" s="7"/>
      <c r="W660" s="7"/>
    </row>
    <row r="661">
      <c r="H661" s="7"/>
      <c r="Q661" s="7"/>
      <c r="W661" s="7"/>
    </row>
    <row r="662">
      <c r="H662" s="7"/>
      <c r="Q662" s="7"/>
      <c r="W662" s="7"/>
    </row>
    <row r="663">
      <c r="H663" s="7"/>
      <c r="Q663" s="7"/>
      <c r="W663" s="7"/>
    </row>
    <row r="664">
      <c r="H664" s="7"/>
      <c r="Q664" s="7"/>
      <c r="W664" s="7"/>
    </row>
    <row r="665">
      <c r="H665" s="7"/>
      <c r="Q665" s="7"/>
      <c r="W665" s="7"/>
    </row>
    <row r="666">
      <c r="H666" s="7"/>
      <c r="Q666" s="7"/>
      <c r="W666" s="7"/>
    </row>
    <row r="667">
      <c r="H667" s="7"/>
      <c r="Q667" s="7"/>
      <c r="W667" s="7"/>
    </row>
    <row r="668">
      <c r="H668" s="7"/>
      <c r="Q668" s="7"/>
      <c r="W668" s="7"/>
    </row>
    <row r="669">
      <c r="H669" s="7"/>
      <c r="Q669" s="7"/>
      <c r="W669" s="7"/>
    </row>
    <row r="670">
      <c r="H670" s="7"/>
      <c r="Q670" s="7"/>
      <c r="W670" s="7"/>
    </row>
    <row r="671">
      <c r="H671" s="7"/>
      <c r="Q671" s="7"/>
      <c r="W671" s="7"/>
    </row>
    <row r="672">
      <c r="H672" s="7"/>
      <c r="Q672" s="7"/>
      <c r="W672" s="7"/>
    </row>
    <row r="673">
      <c r="H673" s="7"/>
      <c r="Q673" s="7"/>
      <c r="W673" s="7"/>
    </row>
    <row r="674">
      <c r="H674" s="7"/>
      <c r="Q674" s="7"/>
      <c r="W674" s="7"/>
    </row>
    <row r="675">
      <c r="H675" s="7"/>
      <c r="Q675" s="7"/>
      <c r="W675" s="7"/>
    </row>
    <row r="676">
      <c r="H676" s="7"/>
      <c r="Q676" s="7"/>
      <c r="W676" s="7"/>
    </row>
    <row r="677">
      <c r="H677" s="7"/>
      <c r="Q677" s="7"/>
      <c r="W677" s="7"/>
    </row>
    <row r="678">
      <c r="H678" s="7"/>
      <c r="Q678" s="7"/>
      <c r="W678" s="7"/>
    </row>
    <row r="679">
      <c r="H679" s="7"/>
      <c r="Q679" s="7"/>
      <c r="W679" s="7"/>
    </row>
    <row r="680">
      <c r="H680" s="7"/>
      <c r="Q680" s="7"/>
      <c r="W680" s="7"/>
    </row>
    <row r="681">
      <c r="H681" s="7"/>
      <c r="Q681" s="7"/>
      <c r="W681" s="7"/>
    </row>
    <row r="682">
      <c r="H682" s="7"/>
      <c r="Q682" s="7"/>
      <c r="W682" s="7"/>
    </row>
    <row r="683">
      <c r="H683" s="7"/>
      <c r="Q683" s="7"/>
      <c r="W683" s="7"/>
    </row>
    <row r="684">
      <c r="H684" s="7"/>
      <c r="Q684" s="7"/>
      <c r="W684" s="7"/>
    </row>
    <row r="685">
      <c r="H685" s="7"/>
      <c r="Q685" s="7"/>
      <c r="W685" s="7"/>
    </row>
    <row r="686">
      <c r="H686" s="7"/>
      <c r="Q686" s="7"/>
      <c r="W686" s="7"/>
    </row>
    <row r="687">
      <c r="H687" s="7"/>
      <c r="Q687" s="7"/>
      <c r="W687" s="7"/>
    </row>
    <row r="688">
      <c r="H688" s="7"/>
      <c r="Q688" s="7"/>
      <c r="W688" s="7"/>
    </row>
    <row r="689">
      <c r="H689" s="7"/>
      <c r="Q689" s="7"/>
      <c r="W689" s="7"/>
    </row>
    <row r="690">
      <c r="H690" s="7"/>
      <c r="Q690" s="7"/>
      <c r="W690" s="7"/>
    </row>
    <row r="691">
      <c r="H691" s="7"/>
      <c r="Q691" s="7"/>
      <c r="W691" s="7"/>
    </row>
    <row r="692">
      <c r="H692" s="7"/>
      <c r="Q692" s="7"/>
      <c r="W692" s="7"/>
    </row>
    <row r="693">
      <c r="H693" s="7"/>
      <c r="Q693" s="7"/>
      <c r="W693" s="7"/>
    </row>
    <row r="694">
      <c r="H694" s="7"/>
      <c r="Q694" s="7"/>
      <c r="W694" s="7"/>
    </row>
    <row r="695">
      <c r="H695" s="7"/>
      <c r="Q695" s="7"/>
      <c r="W695" s="7"/>
    </row>
    <row r="696">
      <c r="H696" s="7"/>
      <c r="Q696" s="7"/>
      <c r="W696" s="7"/>
    </row>
    <row r="697">
      <c r="H697" s="7"/>
      <c r="Q697" s="7"/>
      <c r="W697" s="7"/>
    </row>
    <row r="698">
      <c r="H698" s="7"/>
      <c r="Q698" s="7"/>
      <c r="W698" s="7"/>
    </row>
    <row r="699">
      <c r="H699" s="7"/>
      <c r="Q699" s="7"/>
      <c r="W699" s="7"/>
    </row>
    <row r="700">
      <c r="H700" s="7"/>
      <c r="Q700" s="7"/>
      <c r="W700" s="7"/>
    </row>
    <row r="701">
      <c r="H701" s="7"/>
      <c r="Q701" s="7"/>
      <c r="W701" s="7"/>
    </row>
    <row r="702">
      <c r="H702" s="7"/>
      <c r="Q702" s="7"/>
      <c r="W702" s="7"/>
    </row>
    <row r="703">
      <c r="H703" s="7"/>
      <c r="Q703" s="7"/>
      <c r="W703" s="7"/>
    </row>
    <row r="704">
      <c r="H704" s="7"/>
      <c r="Q704" s="7"/>
      <c r="W704" s="7"/>
    </row>
    <row r="705">
      <c r="H705" s="7"/>
      <c r="Q705" s="7"/>
      <c r="W705" s="7"/>
    </row>
    <row r="706">
      <c r="H706" s="7"/>
      <c r="Q706" s="7"/>
      <c r="W706" s="7"/>
    </row>
    <row r="707">
      <c r="H707" s="7"/>
      <c r="Q707" s="7"/>
      <c r="W707" s="7"/>
    </row>
    <row r="708">
      <c r="H708" s="7"/>
      <c r="Q708" s="7"/>
      <c r="W708" s="7"/>
    </row>
    <row r="709">
      <c r="H709" s="7"/>
      <c r="Q709" s="7"/>
      <c r="W709" s="7"/>
    </row>
    <row r="710">
      <c r="H710" s="7"/>
      <c r="Q710" s="7"/>
      <c r="W710" s="7"/>
    </row>
    <row r="711">
      <c r="H711" s="7"/>
      <c r="Q711" s="7"/>
      <c r="W711" s="7"/>
    </row>
    <row r="712">
      <c r="H712" s="7"/>
      <c r="Q712" s="7"/>
      <c r="W712" s="7"/>
    </row>
    <row r="713">
      <c r="H713" s="7"/>
      <c r="Q713" s="7"/>
      <c r="W713" s="7"/>
    </row>
    <row r="714">
      <c r="H714" s="7"/>
      <c r="Q714" s="7"/>
      <c r="W714" s="7"/>
    </row>
    <row r="715">
      <c r="H715" s="7"/>
      <c r="Q715" s="7"/>
      <c r="W715" s="7"/>
    </row>
    <row r="716">
      <c r="H716" s="7"/>
      <c r="Q716" s="7"/>
      <c r="W716" s="7"/>
    </row>
    <row r="717">
      <c r="H717" s="7"/>
      <c r="Q717" s="7"/>
      <c r="W717" s="7"/>
    </row>
    <row r="718">
      <c r="H718" s="7"/>
      <c r="Q718" s="7"/>
      <c r="W718" s="7"/>
    </row>
    <row r="719">
      <c r="H719" s="7"/>
      <c r="Q719" s="7"/>
      <c r="W719" s="7"/>
    </row>
    <row r="720">
      <c r="H720" s="7"/>
      <c r="Q720" s="7"/>
      <c r="W720" s="7"/>
    </row>
    <row r="721">
      <c r="H721" s="7"/>
      <c r="Q721" s="7"/>
      <c r="W721" s="7"/>
    </row>
    <row r="722">
      <c r="H722" s="7"/>
      <c r="Q722" s="7"/>
      <c r="W722" s="7"/>
    </row>
    <row r="723">
      <c r="H723" s="7"/>
      <c r="Q723" s="7"/>
      <c r="W723" s="7"/>
    </row>
    <row r="724">
      <c r="H724" s="7"/>
      <c r="Q724" s="7"/>
      <c r="W724" s="7"/>
    </row>
    <row r="725">
      <c r="H725" s="7"/>
      <c r="Q725" s="7"/>
      <c r="W725" s="7"/>
    </row>
    <row r="726">
      <c r="H726" s="7"/>
      <c r="Q726" s="7"/>
      <c r="W726" s="7"/>
    </row>
    <row r="727">
      <c r="H727" s="7"/>
      <c r="Q727" s="7"/>
      <c r="W727" s="7"/>
    </row>
    <row r="728">
      <c r="H728" s="7"/>
      <c r="Q728" s="7"/>
      <c r="W728" s="7"/>
    </row>
    <row r="729">
      <c r="H729" s="7"/>
      <c r="Q729" s="7"/>
      <c r="W729" s="7"/>
    </row>
    <row r="730">
      <c r="H730" s="7"/>
      <c r="Q730" s="7"/>
      <c r="W730" s="7"/>
    </row>
    <row r="731">
      <c r="H731" s="7"/>
      <c r="Q731" s="7"/>
      <c r="W731" s="7"/>
    </row>
    <row r="732">
      <c r="H732" s="7"/>
      <c r="Q732" s="7"/>
      <c r="W732" s="7"/>
    </row>
    <row r="733">
      <c r="H733" s="7"/>
      <c r="Q733" s="7"/>
      <c r="W733" s="7"/>
    </row>
    <row r="734">
      <c r="H734" s="7"/>
      <c r="Q734" s="7"/>
      <c r="W734" s="7"/>
    </row>
    <row r="735">
      <c r="H735" s="7"/>
      <c r="Q735" s="7"/>
      <c r="W735" s="7"/>
    </row>
    <row r="736">
      <c r="H736" s="7"/>
      <c r="Q736" s="7"/>
      <c r="W736" s="7"/>
    </row>
    <row r="737">
      <c r="H737" s="7"/>
      <c r="Q737" s="7"/>
      <c r="W737" s="7"/>
    </row>
    <row r="738">
      <c r="H738" s="7"/>
      <c r="Q738" s="7"/>
      <c r="W738" s="7"/>
    </row>
    <row r="739">
      <c r="H739" s="7"/>
      <c r="Q739" s="7"/>
      <c r="W739" s="7"/>
    </row>
    <row r="740">
      <c r="H740" s="7"/>
      <c r="Q740" s="7"/>
      <c r="W740" s="7"/>
    </row>
    <row r="741">
      <c r="H741" s="7"/>
      <c r="Q741" s="7"/>
      <c r="W741" s="7"/>
    </row>
    <row r="742">
      <c r="H742" s="7"/>
      <c r="Q742" s="7"/>
      <c r="W742" s="7"/>
    </row>
    <row r="743">
      <c r="H743" s="7"/>
      <c r="Q743" s="7"/>
      <c r="W743" s="7"/>
    </row>
    <row r="744">
      <c r="H744" s="7"/>
      <c r="Q744" s="7"/>
      <c r="W744" s="7"/>
    </row>
    <row r="745">
      <c r="H745" s="7"/>
      <c r="Q745" s="7"/>
      <c r="W745" s="7"/>
    </row>
    <row r="746">
      <c r="H746" s="7"/>
      <c r="Q746" s="7"/>
      <c r="W746" s="7"/>
    </row>
    <row r="747">
      <c r="H747" s="7"/>
      <c r="Q747" s="7"/>
      <c r="W747" s="7"/>
    </row>
    <row r="748">
      <c r="H748" s="7"/>
      <c r="Q748" s="7"/>
      <c r="W748" s="7"/>
    </row>
    <row r="749">
      <c r="H749" s="7"/>
      <c r="Q749" s="7"/>
      <c r="W749" s="7"/>
    </row>
    <row r="750">
      <c r="H750" s="7"/>
      <c r="Q750" s="7"/>
      <c r="W750" s="7"/>
    </row>
    <row r="751">
      <c r="H751" s="7"/>
      <c r="Q751" s="7"/>
      <c r="W751" s="7"/>
    </row>
    <row r="752">
      <c r="H752" s="7"/>
      <c r="Q752" s="7"/>
      <c r="W752" s="7"/>
    </row>
    <row r="753">
      <c r="H753" s="7"/>
      <c r="Q753" s="7"/>
      <c r="W753" s="7"/>
    </row>
    <row r="754">
      <c r="H754" s="7"/>
      <c r="Q754" s="7"/>
      <c r="W754" s="7"/>
    </row>
    <row r="755">
      <c r="H755" s="7"/>
      <c r="Q755" s="7"/>
      <c r="W755" s="7"/>
    </row>
    <row r="756">
      <c r="H756" s="7"/>
      <c r="Q756" s="7"/>
      <c r="W756" s="7"/>
    </row>
    <row r="757">
      <c r="H757" s="7"/>
      <c r="Q757" s="7"/>
      <c r="W757" s="7"/>
    </row>
    <row r="758">
      <c r="H758" s="7"/>
      <c r="Q758" s="7"/>
      <c r="W758" s="7"/>
    </row>
    <row r="759">
      <c r="H759" s="7"/>
      <c r="Q759" s="7"/>
      <c r="W759" s="7"/>
    </row>
    <row r="760">
      <c r="H760" s="7"/>
      <c r="Q760" s="7"/>
      <c r="W760" s="7"/>
    </row>
    <row r="761">
      <c r="H761" s="7"/>
      <c r="Q761" s="7"/>
      <c r="W761" s="7"/>
    </row>
    <row r="762">
      <c r="H762" s="7"/>
      <c r="Q762" s="7"/>
      <c r="W762" s="7"/>
    </row>
    <row r="763">
      <c r="H763" s="7"/>
      <c r="Q763" s="7"/>
      <c r="W763" s="7"/>
    </row>
    <row r="764">
      <c r="H764" s="7"/>
      <c r="Q764" s="7"/>
      <c r="W764" s="7"/>
    </row>
    <row r="765">
      <c r="H765" s="7"/>
      <c r="Q765" s="7"/>
      <c r="W765" s="7"/>
    </row>
    <row r="766">
      <c r="H766" s="7"/>
      <c r="Q766" s="7"/>
      <c r="W766" s="7"/>
    </row>
    <row r="767">
      <c r="H767" s="7"/>
      <c r="Q767" s="7"/>
      <c r="W767" s="7"/>
    </row>
    <row r="768">
      <c r="H768" s="7"/>
      <c r="Q768" s="7"/>
      <c r="W768" s="7"/>
    </row>
    <row r="769">
      <c r="H769" s="7"/>
      <c r="Q769" s="7"/>
      <c r="W769" s="7"/>
    </row>
    <row r="770">
      <c r="H770" s="7"/>
      <c r="Q770" s="7"/>
      <c r="W770" s="7"/>
    </row>
    <row r="771">
      <c r="H771" s="7"/>
      <c r="Q771" s="7"/>
      <c r="W771" s="7"/>
    </row>
    <row r="772">
      <c r="H772" s="7"/>
      <c r="Q772" s="7"/>
      <c r="W772" s="7"/>
    </row>
    <row r="773">
      <c r="H773" s="7"/>
      <c r="Q773" s="7"/>
      <c r="W773" s="7"/>
    </row>
    <row r="774">
      <c r="H774" s="7"/>
      <c r="Q774" s="7"/>
      <c r="W774" s="7"/>
    </row>
    <row r="775">
      <c r="H775" s="7"/>
      <c r="Q775" s="7"/>
      <c r="W775" s="7"/>
    </row>
    <row r="776">
      <c r="H776" s="7"/>
      <c r="Q776" s="7"/>
      <c r="W776" s="7"/>
    </row>
    <row r="777">
      <c r="H777" s="7"/>
      <c r="Q777" s="7"/>
      <c r="W777" s="7"/>
    </row>
    <row r="778">
      <c r="H778" s="7"/>
      <c r="Q778" s="7"/>
      <c r="W778" s="7"/>
    </row>
    <row r="779">
      <c r="H779" s="7"/>
      <c r="Q779" s="7"/>
      <c r="W779" s="7"/>
    </row>
    <row r="780">
      <c r="H780" s="7"/>
      <c r="Q780" s="7"/>
      <c r="W780" s="7"/>
    </row>
    <row r="781">
      <c r="H781" s="7"/>
      <c r="Q781" s="7"/>
      <c r="W781" s="7"/>
    </row>
    <row r="782">
      <c r="H782" s="7"/>
      <c r="Q782" s="7"/>
      <c r="W782" s="7"/>
    </row>
    <row r="783">
      <c r="H783" s="7"/>
      <c r="Q783" s="7"/>
      <c r="W783" s="7"/>
    </row>
    <row r="784">
      <c r="H784" s="7"/>
      <c r="Q784" s="7"/>
      <c r="W784" s="7"/>
    </row>
    <row r="785">
      <c r="H785" s="7"/>
      <c r="Q785" s="7"/>
      <c r="W785" s="7"/>
    </row>
    <row r="786">
      <c r="H786" s="7"/>
      <c r="Q786" s="7"/>
      <c r="W786" s="7"/>
    </row>
    <row r="787">
      <c r="H787" s="7"/>
      <c r="Q787" s="7"/>
      <c r="W787" s="7"/>
    </row>
    <row r="788">
      <c r="H788" s="7"/>
      <c r="Q788" s="7"/>
      <c r="W788" s="7"/>
    </row>
    <row r="789">
      <c r="H789" s="7"/>
      <c r="Q789" s="7"/>
      <c r="W789" s="7"/>
    </row>
    <row r="790">
      <c r="H790" s="7"/>
      <c r="Q790" s="7"/>
      <c r="W790" s="7"/>
    </row>
    <row r="791">
      <c r="H791" s="7"/>
      <c r="Q791" s="7"/>
      <c r="W791" s="7"/>
    </row>
    <row r="792">
      <c r="H792" s="7"/>
      <c r="Q792" s="7"/>
      <c r="W792" s="7"/>
    </row>
    <row r="793">
      <c r="H793" s="7"/>
      <c r="Q793" s="7"/>
      <c r="W793" s="7"/>
    </row>
    <row r="794">
      <c r="H794" s="7"/>
      <c r="Q794" s="7"/>
      <c r="W794" s="7"/>
    </row>
    <row r="795">
      <c r="H795" s="7"/>
      <c r="Q795" s="7"/>
      <c r="W795" s="7"/>
    </row>
    <row r="796">
      <c r="H796" s="7"/>
      <c r="Q796" s="7"/>
      <c r="W796" s="7"/>
    </row>
    <row r="797">
      <c r="H797" s="7"/>
      <c r="Q797" s="7"/>
      <c r="W797" s="7"/>
    </row>
    <row r="798">
      <c r="H798" s="7"/>
      <c r="Q798" s="7"/>
      <c r="W798" s="7"/>
    </row>
    <row r="799">
      <c r="H799" s="7"/>
      <c r="Q799" s="7"/>
      <c r="W799" s="7"/>
    </row>
    <row r="800">
      <c r="H800" s="7"/>
      <c r="Q800" s="7"/>
      <c r="W800" s="7"/>
    </row>
    <row r="801">
      <c r="H801" s="7"/>
      <c r="Q801" s="7"/>
      <c r="W801" s="7"/>
    </row>
    <row r="802">
      <c r="H802" s="7"/>
      <c r="Q802" s="7"/>
      <c r="W802" s="7"/>
    </row>
    <row r="803">
      <c r="H803" s="7"/>
      <c r="Q803" s="7"/>
      <c r="W803" s="7"/>
    </row>
    <row r="804">
      <c r="H804" s="7"/>
      <c r="Q804" s="7"/>
      <c r="W804" s="7"/>
    </row>
    <row r="805">
      <c r="H805" s="7"/>
      <c r="Q805" s="7"/>
      <c r="W805" s="7"/>
    </row>
    <row r="806">
      <c r="H806" s="7"/>
      <c r="Q806" s="7"/>
      <c r="W806" s="7"/>
    </row>
    <row r="807">
      <c r="H807" s="7"/>
      <c r="Q807" s="7"/>
      <c r="W807" s="7"/>
    </row>
    <row r="808">
      <c r="H808" s="7"/>
      <c r="Q808" s="7"/>
      <c r="W808" s="7"/>
    </row>
    <row r="809">
      <c r="H809" s="7"/>
      <c r="Q809" s="7"/>
      <c r="W809" s="7"/>
    </row>
    <row r="810">
      <c r="H810" s="7"/>
      <c r="Q810" s="7"/>
      <c r="W810" s="7"/>
    </row>
    <row r="811">
      <c r="H811" s="7"/>
      <c r="Q811" s="7"/>
      <c r="W811" s="7"/>
    </row>
    <row r="812">
      <c r="H812" s="7"/>
      <c r="Q812" s="7"/>
      <c r="W812" s="7"/>
    </row>
    <row r="813">
      <c r="H813" s="7"/>
      <c r="Q813" s="7"/>
      <c r="W813" s="7"/>
    </row>
    <row r="814">
      <c r="H814" s="7"/>
      <c r="Q814" s="7"/>
      <c r="W814" s="7"/>
    </row>
    <row r="815">
      <c r="H815" s="7"/>
      <c r="Q815" s="7"/>
      <c r="W815" s="7"/>
    </row>
    <row r="816">
      <c r="H816" s="7"/>
      <c r="Q816" s="7"/>
      <c r="W816" s="7"/>
    </row>
    <row r="817">
      <c r="H817" s="7"/>
      <c r="Q817" s="7"/>
      <c r="W817" s="7"/>
    </row>
    <row r="818">
      <c r="H818" s="7"/>
      <c r="Q818" s="7"/>
      <c r="W818" s="7"/>
    </row>
    <row r="819">
      <c r="H819" s="7"/>
      <c r="Q819" s="7"/>
      <c r="W819" s="7"/>
    </row>
    <row r="820">
      <c r="H820" s="7"/>
      <c r="Q820" s="7"/>
      <c r="W820" s="7"/>
    </row>
    <row r="821">
      <c r="H821" s="7"/>
      <c r="Q821" s="7"/>
      <c r="W821" s="7"/>
    </row>
    <row r="822">
      <c r="H822" s="7"/>
      <c r="Q822" s="7"/>
      <c r="W822" s="7"/>
    </row>
    <row r="823">
      <c r="H823" s="7"/>
      <c r="Q823" s="7"/>
      <c r="W823" s="7"/>
    </row>
    <row r="824">
      <c r="H824" s="7"/>
      <c r="Q824" s="7"/>
      <c r="W824" s="7"/>
    </row>
    <row r="825">
      <c r="H825" s="7"/>
      <c r="Q825" s="7"/>
      <c r="W825" s="7"/>
    </row>
    <row r="826">
      <c r="H826" s="7"/>
      <c r="Q826" s="7"/>
      <c r="W826" s="7"/>
    </row>
    <row r="827">
      <c r="H827" s="7"/>
      <c r="Q827" s="7"/>
      <c r="W827" s="7"/>
    </row>
    <row r="828">
      <c r="H828" s="7"/>
      <c r="Q828" s="7"/>
      <c r="W828" s="7"/>
    </row>
    <row r="829">
      <c r="H829" s="7"/>
      <c r="Q829" s="7"/>
      <c r="W829" s="7"/>
    </row>
    <row r="830">
      <c r="H830" s="7"/>
      <c r="Q830" s="7"/>
      <c r="W830" s="7"/>
    </row>
    <row r="831">
      <c r="H831" s="7"/>
      <c r="Q831" s="7"/>
      <c r="W831" s="7"/>
    </row>
    <row r="832">
      <c r="H832" s="7"/>
      <c r="Q832" s="7"/>
      <c r="W832" s="7"/>
    </row>
    <row r="833">
      <c r="H833" s="7"/>
      <c r="Q833" s="7"/>
      <c r="W833" s="7"/>
    </row>
    <row r="834">
      <c r="H834" s="7"/>
      <c r="Q834" s="7"/>
      <c r="W834" s="7"/>
    </row>
    <row r="835">
      <c r="H835" s="7"/>
      <c r="Q835" s="7"/>
      <c r="W835" s="7"/>
    </row>
    <row r="836">
      <c r="H836" s="7"/>
      <c r="Q836" s="7"/>
      <c r="W836" s="7"/>
    </row>
    <row r="837">
      <c r="H837" s="7"/>
      <c r="Q837" s="7"/>
      <c r="W837" s="7"/>
    </row>
    <row r="838">
      <c r="H838" s="7"/>
      <c r="Q838" s="7"/>
      <c r="W838" s="7"/>
    </row>
    <row r="839">
      <c r="H839" s="7"/>
      <c r="Q839" s="7"/>
      <c r="W839" s="7"/>
    </row>
    <row r="840">
      <c r="H840" s="7"/>
      <c r="Q840" s="7"/>
      <c r="W840" s="7"/>
    </row>
    <row r="841">
      <c r="H841" s="7"/>
      <c r="Q841" s="7"/>
      <c r="W841" s="7"/>
    </row>
    <row r="842">
      <c r="H842" s="7"/>
      <c r="Q842" s="7"/>
      <c r="W842" s="7"/>
    </row>
    <row r="843">
      <c r="H843" s="7"/>
      <c r="Q843" s="7"/>
      <c r="W843" s="7"/>
    </row>
    <row r="844">
      <c r="H844" s="7"/>
      <c r="Q844" s="7"/>
      <c r="W844" s="7"/>
    </row>
    <row r="845">
      <c r="H845" s="7"/>
      <c r="Q845" s="7"/>
      <c r="W845" s="7"/>
    </row>
    <row r="846">
      <c r="H846" s="7"/>
      <c r="Q846" s="7"/>
      <c r="W846" s="7"/>
    </row>
    <row r="847">
      <c r="H847" s="7"/>
      <c r="Q847" s="7"/>
      <c r="W847" s="7"/>
    </row>
    <row r="848">
      <c r="H848" s="7"/>
      <c r="Q848" s="7"/>
      <c r="W848" s="7"/>
    </row>
    <row r="849">
      <c r="H849" s="7"/>
      <c r="Q849" s="7"/>
      <c r="W849" s="7"/>
    </row>
    <row r="850">
      <c r="H850" s="7"/>
      <c r="Q850" s="7"/>
      <c r="W850" s="7"/>
    </row>
    <row r="851">
      <c r="H851" s="7"/>
      <c r="Q851" s="7"/>
      <c r="W851" s="7"/>
    </row>
    <row r="852">
      <c r="H852" s="7"/>
      <c r="Q852" s="7"/>
      <c r="W852" s="7"/>
    </row>
    <row r="853">
      <c r="H853" s="7"/>
      <c r="Q853" s="7"/>
      <c r="W853" s="7"/>
    </row>
    <row r="854">
      <c r="H854" s="7"/>
      <c r="Q854" s="7"/>
      <c r="W854" s="7"/>
    </row>
    <row r="855">
      <c r="H855" s="7"/>
      <c r="Q855" s="7"/>
      <c r="W855" s="7"/>
    </row>
    <row r="856">
      <c r="H856" s="7"/>
      <c r="Q856" s="7"/>
      <c r="W856" s="7"/>
    </row>
    <row r="857">
      <c r="H857" s="7"/>
      <c r="Q857" s="7"/>
      <c r="W857" s="7"/>
    </row>
    <row r="858">
      <c r="H858" s="7"/>
      <c r="Q858" s="7"/>
      <c r="W858" s="7"/>
    </row>
    <row r="859">
      <c r="H859" s="7"/>
      <c r="Q859" s="7"/>
      <c r="W859" s="7"/>
    </row>
    <row r="860">
      <c r="H860" s="7"/>
      <c r="Q860" s="7"/>
      <c r="W860" s="7"/>
    </row>
    <row r="861">
      <c r="H861" s="7"/>
      <c r="Q861" s="7"/>
      <c r="W861" s="7"/>
    </row>
    <row r="862">
      <c r="H862" s="7"/>
      <c r="Q862" s="7"/>
      <c r="W862" s="7"/>
    </row>
    <row r="863">
      <c r="H863" s="7"/>
      <c r="Q863" s="7"/>
      <c r="W863" s="7"/>
    </row>
    <row r="864">
      <c r="H864" s="7"/>
      <c r="Q864" s="7"/>
      <c r="W864" s="7"/>
    </row>
    <row r="865">
      <c r="H865" s="7"/>
      <c r="Q865" s="7"/>
      <c r="W865" s="7"/>
    </row>
    <row r="866">
      <c r="H866" s="7"/>
      <c r="Q866" s="7"/>
      <c r="W866" s="7"/>
    </row>
    <row r="867">
      <c r="H867" s="7"/>
      <c r="Q867" s="7"/>
      <c r="W867" s="7"/>
    </row>
    <row r="868">
      <c r="H868" s="7"/>
      <c r="Q868" s="7"/>
      <c r="W868" s="7"/>
    </row>
    <row r="869">
      <c r="H869" s="7"/>
      <c r="Q869" s="7"/>
      <c r="W869" s="7"/>
    </row>
    <row r="870">
      <c r="H870" s="7"/>
      <c r="Q870" s="7"/>
      <c r="W870" s="7"/>
    </row>
    <row r="871">
      <c r="H871" s="7"/>
      <c r="Q871" s="7"/>
      <c r="W871" s="7"/>
    </row>
    <row r="872">
      <c r="H872" s="7"/>
      <c r="Q872" s="7"/>
      <c r="W872" s="7"/>
    </row>
    <row r="873">
      <c r="H873" s="7"/>
      <c r="Q873" s="7"/>
      <c r="W873" s="7"/>
    </row>
    <row r="874">
      <c r="H874" s="7"/>
      <c r="Q874" s="7"/>
      <c r="W874" s="7"/>
    </row>
    <row r="875">
      <c r="H875" s="7"/>
      <c r="Q875" s="7"/>
      <c r="W875" s="7"/>
    </row>
    <row r="876">
      <c r="H876" s="7"/>
      <c r="Q876" s="7"/>
      <c r="W876" s="7"/>
    </row>
    <row r="877">
      <c r="H877" s="7"/>
      <c r="Q877" s="7"/>
      <c r="W877" s="7"/>
    </row>
    <row r="878">
      <c r="H878" s="7"/>
      <c r="Q878" s="7"/>
      <c r="W878" s="7"/>
    </row>
    <row r="879">
      <c r="H879" s="7"/>
      <c r="Q879" s="7"/>
      <c r="W879" s="7"/>
    </row>
    <row r="880">
      <c r="H880" s="7"/>
      <c r="Q880" s="7"/>
      <c r="W880" s="7"/>
    </row>
    <row r="881">
      <c r="H881" s="7"/>
      <c r="Q881" s="7"/>
      <c r="W881" s="7"/>
    </row>
    <row r="882">
      <c r="H882" s="7"/>
      <c r="Q882" s="7"/>
      <c r="W882" s="7"/>
    </row>
    <row r="883">
      <c r="H883" s="7"/>
      <c r="Q883" s="7"/>
      <c r="W883" s="7"/>
    </row>
    <row r="884">
      <c r="H884" s="7"/>
      <c r="Q884" s="7"/>
      <c r="W884" s="7"/>
    </row>
    <row r="885">
      <c r="H885" s="7"/>
      <c r="Q885" s="7"/>
      <c r="W885" s="7"/>
    </row>
    <row r="886">
      <c r="H886" s="7"/>
      <c r="Q886" s="7"/>
      <c r="W886" s="7"/>
    </row>
    <row r="887">
      <c r="H887" s="7"/>
      <c r="Q887" s="7"/>
      <c r="W887" s="7"/>
    </row>
    <row r="888">
      <c r="H888" s="7"/>
      <c r="Q888" s="7"/>
      <c r="W888" s="7"/>
    </row>
    <row r="889">
      <c r="H889" s="7"/>
      <c r="Q889" s="7"/>
      <c r="W889" s="7"/>
    </row>
    <row r="890">
      <c r="H890" s="7"/>
      <c r="Q890" s="7"/>
      <c r="W890" s="7"/>
    </row>
    <row r="891">
      <c r="H891" s="7"/>
      <c r="Q891" s="7"/>
      <c r="W891" s="7"/>
    </row>
    <row r="892">
      <c r="H892" s="7"/>
      <c r="Q892" s="7"/>
      <c r="W892" s="7"/>
    </row>
    <row r="893">
      <c r="H893" s="7"/>
      <c r="Q893" s="7"/>
      <c r="W893" s="7"/>
    </row>
    <row r="894">
      <c r="H894" s="7"/>
      <c r="Q894" s="7"/>
      <c r="W894" s="7"/>
    </row>
    <row r="895">
      <c r="H895" s="7"/>
      <c r="Q895" s="7"/>
      <c r="W895" s="7"/>
    </row>
    <row r="896">
      <c r="H896" s="7"/>
      <c r="Q896" s="7"/>
      <c r="W896" s="7"/>
    </row>
    <row r="897">
      <c r="H897" s="7"/>
      <c r="Q897" s="7"/>
      <c r="W897" s="7"/>
    </row>
    <row r="898">
      <c r="H898" s="7"/>
      <c r="Q898" s="7"/>
      <c r="W898" s="7"/>
    </row>
    <row r="899">
      <c r="H899" s="7"/>
      <c r="Q899" s="7"/>
      <c r="W899" s="7"/>
    </row>
    <row r="900">
      <c r="H900" s="7"/>
      <c r="Q900" s="7"/>
      <c r="W900" s="7"/>
    </row>
    <row r="901">
      <c r="H901" s="7"/>
      <c r="Q901" s="7"/>
      <c r="W901" s="7"/>
    </row>
    <row r="902">
      <c r="H902" s="7"/>
      <c r="Q902" s="7"/>
      <c r="W902" s="7"/>
    </row>
    <row r="903">
      <c r="H903" s="7"/>
      <c r="Q903" s="7"/>
      <c r="W903" s="7"/>
    </row>
    <row r="904">
      <c r="H904" s="7"/>
      <c r="Q904" s="7"/>
      <c r="W904" s="7"/>
    </row>
    <row r="905">
      <c r="H905" s="7"/>
      <c r="Q905" s="7"/>
      <c r="W905" s="7"/>
    </row>
    <row r="906">
      <c r="H906" s="7"/>
      <c r="Q906" s="7"/>
      <c r="W906" s="7"/>
    </row>
    <row r="907">
      <c r="H907" s="7"/>
      <c r="Q907" s="7"/>
      <c r="W907" s="7"/>
    </row>
    <row r="908">
      <c r="H908" s="7"/>
      <c r="Q908" s="7"/>
      <c r="W908" s="7"/>
    </row>
    <row r="909">
      <c r="H909" s="7"/>
      <c r="Q909" s="7"/>
      <c r="W909" s="7"/>
    </row>
    <row r="910">
      <c r="H910" s="7"/>
      <c r="Q910" s="7"/>
      <c r="W910" s="7"/>
    </row>
    <row r="911">
      <c r="H911" s="7"/>
      <c r="Q911" s="7"/>
      <c r="W911" s="7"/>
    </row>
    <row r="912">
      <c r="H912" s="7"/>
      <c r="Q912" s="7"/>
      <c r="W912" s="7"/>
    </row>
    <row r="913">
      <c r="H913" s="7"/>
      <c r="Q913" s="7"/>
      <c r="W913" s="7"/>
    </row>
    <row r="914">
      <c r="H914" s="7"/>
      <c r="Q914" s="7"/>
      <c r="W914" s="7"/>
    </row>
    <row r="915">
      <c r="H915" s="7"/>
      <c r="Q915" s="7"/>
      <c r="W915" s="7"/>
    </row>
    <row r="916">
      <c r="H916" s="7"/>
      <c r="Q916" s="7"/>
      <c r="W916" s="7"/>
    </row>
    <row r="917">
      <c r="H917" s="7"/>
      <c r="Q917" s="7"/>
      <c r="W917" s="7"/>
    </row>
    <row r="918">
      <c r="H918" s="7"/>
      <c r="Q918" s="7"/>
      <c r="W918" s="7"/>
    </row>
    <row r="919">
      <c r="H919" s="7"/>
      <c r="Q919" s="7"/>
      <c r="W919" s="7"/>
    </row>
    <row r="920">
      <c r="H920" s="7"/>
      <c r="Q920" s="7"/>
      <c r="W920" s="7"/>
    </row>
    <row r="921">
      <c r="H921" s="7"/>
      <c r="Q921" s="7"/>
      <c r="W921" s="7"/>
    </row>
    <row r="922">
      <c r="H922" s="7"/>
      <c r="Q922" s="7"/>
      <c r="W922" s="7"/>
    </row>
    <row r="923">
      <c r="H923" s="7"/>
      <c r="Q923" s="7"/>
      <c r="W923" s="7"/>
    </row>
    <row r="924">
      <c r="H924" s="7"/>
      <c r="Q924" s="7"/>
      <c r="W924" s="7"/>
    </row>
    <row r="925">
      <c r="H925" s="7"/>
      <c r="Q925" s="7"/>
      <c r="W925" s="7"/>
    </row>
    <row r="926">
      <c r="H926" s="7"/>
      <c r="Q926" s="7"/>
      <c r="W926" s="7"/>
    </row>
    <row r="927">
      <c r="H927" s="7"/>
      <c r="Q927" s="7"/>
      <c r="W927" s="7"/>
    </row>
    <row r="928">
      <c r="H928" s="7"/>
      <c r="Q928" s="7"/>
      <c r="W928" s="7"/>
    </row>
    <row r="929">
      <c r="H929" s="7"/>
      <c r="Q929" s="7"/>
      <c r="W929" s="7"/>
    </row>
    <row r="930">
      <c r="H930" s="7"/>
      <c r="Q930" s="7"/>
      <c r="W930" s="7"/>
    </row>
    <row r="931">
      <c r="H931" s="7"/>
      <c r="Q931" s="7"/>
      <c r="W931" s="7"/>
    </row>
    <row r="932">
      <c r="H932" s="7"/>
      <c r="Q932" s="7"/>
      <c r="W932" s="7"/>
    </row>
    <row r="933">
      <c r="H933" s="7"/>
      <c r="Q933" s="7"/>
      <c r="W933" s="7"/>
    </row>
    <row r="934">
      <c r="H934" s="7"/>
      <c r="Q934" s="7"/>
      <c r="W934" s="7"/>
    </row>
    <row r="935">
      <c r="H935" s="7"/>
      <c r="Q935" s="7"/>
      <c r="W935" s="7"/>
    </row>
    <row r="936">
      <c r="H936" s="7"/>
      <c r="Q936" s="7"/>
      <c r="W936" s="7"/>
    </row>
    <row r="937">
      <c r="H937" s="7"/>
      <c r="Q937" s="7"/>
      <c r="W937" s="7"/>
    </row>
    <row r="938">
      <c r="H938" s="7"/>
      <c r="Q938" s="7"/>
      <c r="W938" s="7"/>
    </row>
    <row r="939">
      <c r="H939" s="7"/>
      <c r="Q939" s="7"/>
      <c r="W939" s="7"/>
    </row>
    <row r="940">
      <c r="H940" s="7"/>
      <c r="Q940" s="7"/>
      <c r="W940" s="7"/>
    </row>
    <row r="941">
      <c r="H941" s="7"/>
      <c r="Q941" s="7"/>
      <c r="W941" s="7"/>
    </row>
    <row r="942">
      <c r="H942" s="7"/>
      <c r="Q942" s="7"/>
      <c r="W942" s="7"/>
    </row>
    <row r="943">
      <c r="H943" s="7"/>
      <c r="Q943" s="7"/>
      <c r="W943" s="7"/>
    </row>
    <row r="944">
      <c r="H944" s="7"/>
      <c r="Q944" s="7"/>
      <c r="W944" s="7"/>
    </row>
    <row r="945">
      <c r="H945" s="7"/>
      <c r="Q945" s="7"/>
      <c r="W945" s="7"/>
    </row>
    <row r="946">
      <c r="H946" s="7"/>
      <c r="Q946" s="7"/>
      <c r="W946" s="7"/>
    </row>
    <row r="947">
      <c r="H947" s="7"/>
      <c r="Q947" s="7"/>
      <c r="W947" s="7"/>
    </row>
    <row r="948">
      <c r="H948" s="7"/>
      <c r="Q948" s="7"/>
      <c r="W948" s="7"/>
    </row>
    <row r="949">
      <c r="H949" s="7"/>
      <c r="Q949" s="7"/>
      <c r="W949" s="7"/>
    </row>
    <row r="950">
      <c r="H950" s="7"/>
      <c r="Q950" s="7"/>
      <c r="W950" s="7"/>
    </row>
    <row r="951">
      <c r="H951" s="7"/>
      <c r="Q951" s="7"/>
      <c r="W951" s="7"/>
    </row>
    <row r="952">
      <c r="H952" s="7"/>
      <c r="Q952" s="7"/>
      <c r="W952" s="7"/>
    </row>
    <row r="953">
      <c r="H953" s="7"/>
      <c r="Q953" s="7"/>
      <c r="W953" s="7"/>
    </row>
    <row r="954">
      <c r="H954" s="7"/>
      <c r="Q954" s="7"/>
      <c r="W954" s="7"/>
    </row>
    <row r="955">
      <c r="H955" s="7"/>
      <c r="Q955" s="7"/>
      <c r="W955" s="7"/>
    </row>
    <row r="956">
      <c r="H956" s="7"/>
      <c r="Q956" s="7"/>
      <c r="W956" s="7"/>
    </row>
    <row r="957">
      <c r="H957" s="7"/>
      <c r="Q957" s="7"/>
      <c r="W957" s="7"/>
    </row>
    <row r="958">
      <c r="H958" s="7"/>
      <c r="Q958" s="7"/>
      <c r="W958" s="7"/>
    </row>
    <row r="959">
      <c r="H959" s="7"/>
      <c r="Q959" s="7"/>
      <c r="W959" s="7"/>
    </row>
    <row r="960">
      <c r="H960" s="7"/>
      <c r="Q960" s="7"/>
      <c r="W960" s="7"/>
    </row>
    <row r="961">
      <c r="H961" s="7"/>
      <c r="Q961" s="7"/>
      <c r="W961" s="7"/>
    </row>
    <row r="962">
      <c r="H962" s="7"/>
      <c r="Q962" s="7"/>
      <c r="W962" s="7"/>
    </row>
    <row r="963">
      <c r="H963" s="7"/>
      <c r="Q963" s="7"/>
      <c r="W963" s="7"/>
    </row>
    <row r="964">
      <c r="H964" s="7"/>
      <c r="Q964" s="7"/>
      <c r="W964" s="7"/>
    </row>
    <row r="965">
      <c r="H965" s="7"/>
      <c r="Q965" s="7"/>
      <c r="W965" s="7"/>
    </row>
    <row r="966">
      <c r="H966" s="7"/>
      <c r="Q966" s="7"/>
      <c r="W966" s="7"/>
    </row>
    <row r="967">
      <c r="H967" s="7"/>
      <c r="Q967" s="7"/>
      <c r="W967" s="7"/>
    </row>
    <row r="968">
      <c r="H968" s="7"/>
      <c r="Q968" s="7"/>
      <c r="W968" s="7"/>
    </row>
    <row r="969">
      <c r="H969" s="7"/>
      <c r="Q969" s="7"/>
      <c r="W969" s="7"/>
    </row>
    <row r="970">
      <c r="H970" s="7"/>
      <c r="Q970" s="7"/>
      <c r="W970" s="7"/>
    </row>
    <row r="971">
      <c r="H971" s="7"/>
      <c r="Q971" s="7"/>
      <c r="W971" s="7"/>
    </row>
    <row r="972">
      <c r="H972" s="7"/>
      <c r="Q972" s="7"/>
      <c r="W972" s="7"/>
    </row>
    <row r="973">
      <c r="H973" s="7"/>
      <c r="Q973" s="7"/>
      <c r="W973" s="7"/>
    </row>
    <row r="974">
      <c r="H974" s="7"/>
      <c r="Q974" s="7"/>
      <c r="W974" s="7"/>
    </row>
    <row r="975">
      <c r="H975" s="7"/>
      <c r="Q975" s="7"/>
      <c r="W975" s="7"/>
    </row>
    <row r="976">
      <c r="H976" s="7"/>
      <c r="Q976" s="7"/>
      <c r="W976" s="7"/>
    </row>
    <row r="977">
      <c r="H977" s="7"/>
      <c r="Q977" s="7"/>
      <c r="W977" s="7"/>
    </row>
    <row r="978">
      <c r="H978" s="7"/>
      <c r="Q978" s="7"/>
      <c r="W978" s="7"/>
    </row>
    <row r="979">
      <c r="H979" s="7"/>
      <c r="Q979" s="7"/>
      <c r="W979" s="7"/>
    </row>
    <row r="980">
      <c r="H980" s="7"/>
      <c r="Q980" s="7"/>
      <c r="W980" s="7"/>
    </row>
    <row r="981">
      <c r="H981" s="7"/>
      <c r="Q981" s="7"/>
      <c r="W981" s="7"/>
    </row>
    <row r="982">
      <c r="H982" s="7"/>
      <c r="Q982" s="7"/>
      <c r="W982" s="7"/>
    </row>
    <row r="983">
      <c r="H983" s="7"/>
      <c r="Q983" s="7"/>
      <c r="W983" s="7"/>
    </row>
    <row r="984">
      <c r="H984" s="7"/>
      <c r="Q984" s="7"/>
      <c r="W984" s="7"/>
    </row>
    <row r="985">
      <c r="H985" s="7"/>
      <c r="Q985" s="7"/>
      <c r="W985" s="7"/>
    </row>
    <row r="986">
      <c r="H986" s="7"/>
      <c r="Q986" s="7"/>
      <c r="W986" s="7"/>
    </row>
    <row r="987">
      <c r="H987" s="7"/>
      <c r="Q987" s="7"/>
      <c r="W987" s="7"/>
    </row>
    <row r="988">
      <c r="H988" s="7"/>
      <c r="Q988" s="7"/>
      <c r="W988" s="7"/>
    </row>
    <row r="989">
      <c r="H989" s="7"/>
      <c r="Q989" s="7"/>
      <c r="W989" s="7"/>
    </row>
    <row r="990">
      <c r="H990" s="7"/>
      <c r="Q990" s="7"/>
      <c r="W990" s="7"/>
    </row>
  </sheetData>
  <mergeCells count="1">
    <mergeCell ref="A1:B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7" max="7" width="20.88"/>
    <col customWidth="1" min="14" max="14" width="14.88"/>
  </cols>
  <sheetData>
    <row r="1" ht="22.5" customHeight="1">
      <c r="A1" s="2"/>
      <c r="B1" s="3"/>
      <c r="H1" s="7"/>
      <c r="M1" s="2"/>
      <c r="N1" s="3"/>
      <c r="Q1" s="7"/>
      <c r="S1" s="13" t="s">
        <v>40</v>
      </c>
      <c r="T1" s="13" t="s">
        <v>41</v>
      </c>
      <c r="W1" s="7"/>
    </row>
    <row r="2" ht="22.5" customHeight="1">
      <c r="B2" s="5"/>
      <c r="G2" s="21"/>
      <c r="H2" s="22"/>
      <c r="N2" s="5"/>
      <c r="P2" s="21"/>
      <c r="Q2" s="22"/>
      <c r="S2" s="17"/>
      <c r="T2" s="18"/>
      <c r="V2" s="23"/>
      <c r="W2" s="24"/>
    </row>
    <row r="3" ht="22.5" customHeight="1">
      <c r="A3" s="4"/>
      <c r="B3" s="5"/>
      <c r="F3" s="28"/>
      <c r="G3" s="23"/>
      <c r="H3" s="24"/>
      <c r="M3" s="4"/>
      <c r="N3" s="5"/>
      <c r="P3" s="23"/>
      <c r="Q3" s="24"/>
      <c r="S3" s="17"/>
      <c r="T3" s="18"/>
      <c r="V3" s="26"/>
      <c r="W3" s="27"/>
    </row>
    <row r="4" ht="22.5" customHeight="1">
      <c r="A4" s="4"/>
      <c r="B4" s="5"/>
      <c r="F4" s="28"/>
      <c r="G4" s="26"/>
      <c r="H4" s="27"/>
      <c r="M4" s="4"/>
      <c r="N4" s="5"/>
      <c r="P4" s="26"/>
      <c r="Q4" s="27"/>
      <c r="S4" s="17"/>
      <c r="T4" s="18"/>
      <c r="V4" s="29"/>
      <c r="W4" s="30"/>
      <c r="AB4" s="5"/>
      <c r="AC4" s="19"/>
    </row>
    <row r="5" ht="22.5" customHeight="1">
      <c r="A5" s="4"/>
      <c r="B5" s="5"/>
      <c r="F5" s="28"/>
      <c r="G5" s="29"/>
      <c r="H5" s="30"/>
      <c r="M5" s="4"/>
      <c r="N5" s="5"/>
      <c r="P5" s="29"/>
      <c r="Q5" s="30"/>
      <c r="S5" s="17"/>
      <c r="T5" s="18"/>
      <c r="V5" s="26"/>
      <c r="W5" s="27"/>
      <c r="AB5" s="5"/>
      <c r="AC5" s="19"/>
    </row>
    <row r="6" ht="22.5" customHeight="1">
      <c r="A6" s="4"/>
      <c r="B6" s="5"/>
      <c r="F6" s="28"/>
      <c r="G6" s="26"/>
      <c r="H6" s="27"/>
      <c r="M6" s="4"/>
      <c r="N6" s="5"/>
      <c r="P6" s="26"/>
      <c r="Q6" s="27"/>
      <c r="S6" s="17"/>
      <c r="T6" s="18"/>
      <c r="V6" s="29"/>
      <c r="W6" s="30"/>
      <c r="AB6" s="5"/>
      <c r="AC6" s="19"/>
    </row>
    <row r="7" ht="22.5" customHeight="1">
      <c r="A7" s="4"/>
      <c r="B7" s="5"/>
      <c r="F7" s="28"/>
      <c r="G7" s="29"/>
      <c r="H7" s="30"/>
      <c r="M7" s="4"/>
      <c r="N7" s="5"/>
      <c r="P7" s="29"/>
      <c r="Q7" s="30"/>
      <c r="S7" s="17"/>
      <c r="T7" s="18"/>
      <c r="V7" s="26"/>
      <c r="W7" s="27"/>
      <c r="AB7" s="5"/>
      <c r="AC7" s="19"/>
    </row>
    <row r="8" ht="22.5" customHeight="1">
      <c r="A8" s="4"/>
      <c r="B8" s="5"/>
      <c r="F8" s="28"/>
      <c r="G8" s="26"/>
      <c r="H8" s="27"/>
      <c r="M8" s="4"/>
      <c r="N8" s="5"/>
      <c r="P8" s="26"/>
      <c r="Q8" s="27"/>
      <c r="S8" s="17"/>
      <c r="T8" s="18"/>
      <c r="V8" s="29"/>
      <c r="W8" s="30"/>
      <c r="AB8" s="5"/>
      <c r="AC8" s="19"/>
    </row>
    <row r="9" ht="22.5" customHeight="1">
      <c r="A9" s="4"/>
      <c r="B9" s="5"/>
      <c r="F9" s="28"/>
      <c r="G9" s="29"/>
      <c r="H9" s="30"/>
      <c r="M9" s="4"/>
      <c r="N9" s="5"/>
      <c r="P9" s="29"/>
      <c r="Q9" s="30"/>
      <c r="S9" s="17"/>
      <c r="T9" s="18"/>
      <c r="V9" s="26"/>
      <c r="W9" s="27"/>
      <c r="AB9" s="5"/>
      <c r="AC9" s="19"/>
    </row>
    <row r="10" ht="22.5" customHeight="1">
      <c r="A10" s="4"/>
      <c r="B10" s="5"/>
      <c r="F10" s="28"/>
      <c r="G10" s="26"/>
      <c r="H10" s="27"/>
      <c r="M10" s="4"/>
      <c r="N10" s="5"/>
      <c r="P10" s="26"/>
      <c r="Q10" s="27"/>
      <c r="S10" s="17"/>
      <c r="T10" s="18"/>
      <c r="V10" s="29"/>
      <c r="W10" s="30"/>
      <c r="AB10" s="5"/>
      <c r="AC10" s="19"/>
    </row>
    <row r="11" ht="22.5" customHeight="1">
      <c r="A11" s="4"/>
      <c r="B11" s="5"/>
      <c r="F11" s="28"/>
      <c r="G11" s="29"/>
      <c r="H11" s="30"/>
      <c r="M11" s="4"/>
      <c r="N11" s="5"/>
      <c r="P11" s="29"/>
      <c r="Q11" s="30"/>
      <c r="S11" s="17"/>
      <c r="T11" s="18"/>
      <c r="V11" s="26"/>
      <c r="W11" s="27"/>
      <c r="AB11" s="5"/>
      <c r="AC11" s="19"/>
    </row>
    <row r="12" ht="22.5" customHeight="1">
      <c r="A12" s="4"/>
      <c r="B12" s="5"/>
      <c r="G12" s="32"/>
      <c r="H12" s="33"/>
      <c r="M12" s="4"/>
      <c r="N12" s="5"/>
      <c r="P12" s="26"/>
      <c r="Q12" s="27"/>
      <c r="S12" s="17"/>
      <c r="T12" s="18"/>
      <c r="V12" s="29"/>
      <c r="W12" s="30"/>
      <c r="AB12" s="5"/>
      <c r="AC12" s="19"/>
    </row>
    <row r="13" ht="22.5" customHeight="1">
      <c r="A13" s="4"/>
      <c r="B13" s="5"/>
      <c r="G13" s="34"/>
      <c r="H13" s="35"/>
      <c r="M13" s="4"/>
      <c r="N13" s="5"/>
      <c r="P13" s="29"/>
      <c r="Q13" s="30"/>
      <c r="S13" s="17"/>
      <c r="T13" s="18"/>
      <c r="V13" s="26"/>
      <c r="W13" s="27"/>
      <c r="AB13" s="5"/>
      <c r="AC13" s="19"/>
    </row>
    <row r="14" ht="22.5" customHeight="1">
      <c r="A14" s="4"/>
      <c r="B14" s="5"/>
      <c r="G14" s="34"/>
      <c r="H14" s="35"/>
      <c r="M14" s="4"/>
      <c r="N14" s="5"/>
      <c r="P14" s="26"/>
      <c r="Q14" s="27"/>
      <c r="S14" s="17"/>
      <c r="T14" s="18"/>
      <c r="V14" s="29"/>
      <c r="W14" s="30"/>
    </row>
    <row r="15" ht="22.5" customHeight="1">
      <c r="A15" s="4"/>
      <c r="B15" s="5"/>
      <c r="G15" s="34"/>
      <c r="H15" s="35"/>
      <c r="M15" s="4"/>
      <c r="N15" s="5"/>
      <c r="P15" s="29"/>
      <c r="Q15" s="30"/>
      <c r="S15" s="17"/>
      <c r="T15" s="18"/>
      <c r="V15" s="26"/>
      <c r="W15" s="27"/>
    </row>
    <row r="16" ht="22.5" customHeight="1">
      <c r="A16" s="4"/>
      <c r="B16" s="5"/>
      <c r="G16" s="34"/>
      <c r="H16" s="35"/>
      <c r="M16" s="4"/>
      <c r="N16" s="5"/>
      <c r="P16" s="26"/>
      <c r="Q16" s="27"/>
      <c r="S16" s="17"/>
      <c r="T16" s="18"/>
      <c r="V16" s="29"/>
      <c r="W16" s="30"/>
    </row>
    <row r="17" ht="22.5" customHeight="1">
      <c r="A17" s="4"/>
      <c r="B17" s="5"/>
      <c r="G17" s="34"/>
      <c r="H17" s="35"/>
      <c r="M17" s="4"/>
      <c r="N17" s="5"/>
      <c r="P17" s="29"/>
      <c r="Q17" s="30"/>
      <c r="S17" s="17"/>
      <c r="T17" s="18"/>
      <c r="V17" s="26"/>
      <c r="W17" s="27"/>
    </row>
    <row r="18" ht="22.5" customHeight="1">
      <c r="A18" s="4"/>
      <c r="B18" s="5"/>
      <c r="G18" s="34"/>
      <c r="H18" s="35"/>
      <c r="M18" s="4"/>
      <c r="N18" s="5"/>
      <c r="P18" s="26"/>
      <c r="Q18" s="27"/>
      <c r="S18" s="17"/>
      <c r="T18" s="18"/>
      <c r="V18" s="29"/>
      <c r="W18" s="30"/>
    </row>
    <row r="19" ht="22.5" customHeight="1">
      <c r="A19" s="4"/>
      <c r="B19" s="5"/>
      <c r="G19" s="34"/>
      <c r="H19" s="35"/>
      <c r="M19" s="4"/>
      <c r="N19" s="5"/>
      <c r="P19" s="29"/>
      <c r="Q19" s="30"/>
      <c r="S19" s="17"/>
      <c r="T19" s="18"/>
      <c r="V19" s="26"/>
      <c r="W19" s="27"/>
    </row>
    <row r="20" ht="22.5" customHeight="1">
      <c r="A20" s="4"/>
      <c r="B20" s="5"/>
      <c r="G20" s="34"/>
      <c r="H20" s="35"/>
      <c r="M20" s="4"/>
      <c r="N20" s="5"/>
      <c r="P20" s="26"/>
      <c r="Q20" s="27"/>
      <c r="S20" s="17"/>
      <c r="T20" s="18"/>
      <c r="V20" s="29"/>
      <c r="W20" s="30"/>
    </row>
    <row r="21" ht="22.5" customHeight="1">
      <c r="A21" s="4"/>
      <c r="B21" s="5"/>
      <c r="G21" s="34"/>
      <c r="H21" s="35"/>
      <c r="M21" s="4"/>
      <c r="N21" s="5"/>
      <c r="P21" s="29"/>
      <c r="Q21" s="30"/>
      <c r="S21" s="17"/>
      <c r="T21" s="18"/>
      <c r="V21" s="26"/>
      <c r="W21" s="27"/>
    </row>
    <row r="22" ht="22.5" customHeight="1">
      <c r="A22" s="4"/>
      <c r="B22" s="5"/>
      <c r="G22" s="34"/>
      <c r="H22" s="35"/>
      <c r="M22" s="4"/>
      <c r="N22" s="5"/>
      <c r="P22" s="26"/>
      <c r="Q22" s="27"/>
      <c r="S22" s="17"/>
      <c r="T22" s="18"/>
      <c r="V22" s="29"/>
      <c r="W22" s="30"/>
    </row>
    <row r="23" ht="22.5" customHeight="1">
      <c r="A23" s="4"/>
      <c r="B23" s="5"/>
      <c r="G23" s="34"/>
      <c r="H23" s="35"/>
      <c r="M23" s="4"/>
      <c r="N23" s="5"/>
      <c r="P23" s="29"/>
      <c r="Q23" s="30"/>
      <c r="S23" s="17"/>
      <c r="T23" s="18"/>
      <c r="V23" s="26"/>
      <c r="W23" s="27"/>
    </row>
    <row r="24" ht="22.5" customHeight="1">
      <c r="A24" s="4"/>
      <c r="B24" s="5"/>
      <c r="G24" s="34"/>
      <c r="H24" s="35"/>
      <c r="M24" s="4"/>
      <c r="N24" s="5"/>
      <c r="P24" s="26"/>
      <c r="Q24" s="27"/>
      <c r="S24" s="17"/>
      <c r="T24" s="18"/>
      <c r="V24" s="29"/>
      <c r="W24" s="30"/>
    </row>
    <row r="25" ht="22.5" customHeight="1">
      <c r="A25" s="4"/>
      <c r="B25" s="5"/>
      <c r="G25" s="34"/>
      <c r="H25" s="35"/>
      <c r="M25" s="4"/>
      <c r="N25" s="5"/>
      <c r="P25" s="29"/>
      <c r="Q25" s="30"/>
      <c r="S25" s="17"/>
      <c r="T25" s="18"/>
      <c r="V25" s="26"/>
      <c r="W25" s="27"/>
    </row>
    <row r="26" ht="22.5" customHeight="1">
      <c r="A26" s="4"/>
      <c r="B26" s="5"/>
      <c r="G26" s="34"/>
      <c r="H26" s="35"/>
      <c r="M26" s="4"/>
      <c r="N26" s="5"/>
      <c r="P26" s="26"/>
      <c r="Q26" s="27"/>
      <c r="S26" s="17"/>
      <c r="T26" s="18"/>
      <c r="V26" s="29"/>
      <c r="W26" s="30"/>
    </row>
    <row r="27" ht="22.5" customHeight="1">
      <c r="A27" s="4"/>
      <c r="B27" s="5"/>
      <c r="G27" s="34"/>
      <c r="H27" s="35"/>
      <c r="M27" s="4"/>
      <c r="N27" s="5"/>
      <c r="P27" s="29"/>
      <c r="Q27" s="30"/>
      <c r="S27" s="17"/>
      <c r="T27" s="18"/>
      <c r="V27" s="26"/>
      <c r="W27" s="27"/>
    </row>
    <row r="28" ht="22.5" customHeight="1">
      <c r="A28" s="4"/>
      <c r="B28" s="5"/>
      <c r="G28" s="34"/>
      <c r="H28" s="35"/>
      <c r="M28" s="4"/>
      <c r="N28" s="5"/>
      <c r="P28" s="26"/>
      <c r="Q28" s="27"/>
      <c r="S28" s="17"/>
      <c r="T28" s="18"/>
      <c r="V28" s="29"/>
      <c r="W28" s="30"/>
    </row>
    <row r="29" ht="22.5" customHeight="1">
      <c r="A29" s="4"/>
      <c r="B29" s="5"/>
      <c r="G29" s="34"/>
      <c r="H29" s="35"/>
      <c r="M29" s="4"/>
      <c r="N29" s="5"/>
      <c r="P29" s="29"/>
      <c r="Q29" s="30"/>
      <c r="S29" s="17"/>
      <c r="T29" s="18"/>
      <c r="V29" s="26"/>
      <c r="W29" s="27"/>
    </row>
    <row r="30" ht="22.5" customHeight="1">
      <c r="A30" s="4"/>
      <c r="B30" s="5"/>
      <c r="G30" s="34"/>
      <c r="H30" s="35"/>
      <c r="M30" s="4"/>
      <c r="N30" s="5"/>
      <c r="P30" s="26"/>
      <c r="Q30" s="27"/>
      <c r="S30" s="17"/>
      <c r="T30" s="18"/>
      <c r="V30" s="29"/>
      <c r="W30" s="30"/>
    </row>
    <row r="31" ht="22.5" customHeight="1">
      <c r="A31" s="4"/>
      <c r="B31" s="5"/>
      <c r="G31" s="34"/>
      <c r="H31" s="35"/>
      <c r="M31" s="4"/>
      <c r="N31" s="5"/>
      <c r="P31" s="29"/>
      <c r="Q31" s="30"/>
      <c r="S31" s="17"/>
      <c r="T31" s="18"/>
      <c r="V31" s="26"/>
      <c r="W31" s="27"/>
    </row>
    <row r="32" ht="22.5" customHeight="1">
      <c r="A32" s="4"/>
      <c r="B32" s="5"/>
      <c r="G32" s="34"/>
      <c r="H32" s="35"/>
      <c r="M32" s="4"/>
      <c r="N32" s="5"/>
      <c r="P32" s="26"/>
      <c r="Q32" s="27"/>
      <c r="S32" s="17"/>
      <c r="T32" s="18"/>
      <c r="V32" s="29"/>
      <c r="W32" s="30"/>
    </row>
    <row r="33" ht="22.5" customHeight="1">
      <c r="A33" s="4"/>
      <c r="B33" s="5"/>
      <c r="G33" s="34"/>
      <c r="H33" s="35"/>
      <c r="M33" s="4"/>
      <c r="N33" s="5"/>
      <c r="P33" s="29"/>
      <c r="Q33" s="30"/>
      <c r="S33" s="17"/>
      <c r="T33" s="18"/>
      <c r="V33" s="26"/>
      <c r="W33" s="27"/>
    </row>
    <row r="34" ht="22.5" customHeight="1">
      <c r="A34" s="4"/>
      <c r="B34" s="5"/>
      <c r="G34" s="34"/>
      <c r="H34" s="35"/>
      <c r="M34" s="4"/>
      <c r="N34" s="5"/>
      <c r="P34" s="26"/>
      <c r="Q34" s="27"/>
      <c r="S34" s="17"/>
      <c r="T34" s="18"/>
      <c r="V34" s="29"/>
      <c r="W34" s="30"/>
    </row>
    <row r="35" ht="22.5" customHeight="1">
      <c r="A35" s="4"/>
      <c r="B35" s="5"/>
      <c r="G35" s="34"/>
      <c r="H35" s="35"/>
      <c r="M35" s="4"/>
      <c r="N35" s="5"/>
      <c r="P35" s="29"/>
      <c r="Q35" s="30"/>
      <c r="S35" s="17"/>
      <c r="T35" s="18"/>
      <c r="V35" s="26"/>
      <c r="W35" s="27"/>
    </row>
    <row r="36" ht="22.5" customHeight="1">
      <c r="A36" s="4"/>
      <c r="B36" s="5"/>
      <c r="G36" s="34"/>
      <c r="H36" s="35"/>
      <c r="M36" s="4"/>
      <c r="N36" s="5"/>
      <c r="P36" s="26"/>
      <c r="Q36" s="27"/>
      <c r="S36" s="17"/>
      <c r="T36" s="18"/>
      <c r="V36" s="29"/>
      <c r="W36" s="30"/>
    </row>
    <row r="37" ht="22.5" customHeight="1">
      <c r="A37" s="4"/>
      <c r="B37" s="5"/>
      <c r="G37" s="34"/>
      <c r="H37" s="35"/>
      <c r="M37" s="4"/>
      <c r="N37" s="5"/>
      <c r="P37" s="29"/>
      <c r="Q37" s="30"/>
      <c r="S37" s="17"/>
      <c r="T37" s="18"/>
      <c r="V37" s="26"/>
      <c r="W37" s="27"/>
    </row>
    <row r="38" ht="22.5" customHeight="1">
      <c r="A38" s="4"/>
      <c r="B38" s="5"/>
      <c r="G38" s="34"/>
      <c r="H38" s="35"/>
      <c r="M38" s="4"/>
      <c r="N38" s="5"/>
      <c r="P38" s="26"/>
      <c r="Q38" s="27"/>
      <c r="S38" s="17"/>
      <c r="T38" s="18"/>
      <c r="V38" s="29"/>
      <c r="W38" s="30"/>
    </row>
    <row r="39" ht="22.5" customHeight="1">
      <c r="A39" s="4"/>
      <c r="B39" s="5"/>
      <c r="G39" s="34"/>
      <c r="H39" s="35"/>
      <c r="M39" s="4"/>
      <c r="N39" s="5"/>
      <c r="P39" s="29"/>
      <c r="Q39" s="30"/>
      <c r="S39" s="17"/>
      <c r="T39" s="18"/>
      <c r="V39" s="26"/>
      <c r="W39" s="27"/>
    </row>
    <row r="40" ht="22.5" customHeight="1">
      <c r="A40" s="4"/>
      <c r="B40" s="5"/>
      <c r="G40" s="34"/>
      <c r="H40" s="35"/>
      <c r="M40" s="4"/>
      <c r="N40" s="5"/>
      <c r="P40" s="26"/>
      <c r="Q40" s="27"/>
      <c r="S40" s="17"/>
      <c r="T40" s="18"/>
      <c r="V40" s="29"/>
      <c r="W40" s="30"/>
    </row>
    <row r="41" ht="22.5" customHeight="1">
      <c r="A41" s="4"/>
      <c r="B41" s="5"/>
      <c r="G41" s="34"/>
      <c r="H41" s="35"/>
      <c r="M41" s="4"/>
      <c r="N41" s="5"/>
      <c r="P41" s="29"/>
      <c r="Q41" s="30"/>
      <c r="S41" s="17"/>
      <c r="T41" s="18"/>
      <c r="V41" s="26"/>
      <c r="W41" s="27"/>
    </row>
    <row r="42">
      <c r="A42" s="4"/>
      <c r="B42" s="5"/>
      <c r="G42" s="34"/>
      <c r="H42" s="35"/>
      <c r="M42" s="4"/>
      <c r="N42" s="5"/>
      <c r="P42" s="26"/>
      <c r="Q42" s="27"/>
      <c r="V42" s="29"/>
      <c r="W42" s="30"/>
    </row>
    <row r="43">
      <c r="G43" s="34"/>
      <c r="H43" s="35"/>
      <c r="P43" s="29"/>
      <c r="Q43" s="30"/>
      <c r="V43" s="26"/>
      <c r="W43" s="27"/>
    </row>
    <row r="44">
      <c r="G44" s="34"/>
      <c r="H44" s="35"/>
      <c r="P44" s="26"/>
      <c r="Q44" s="27"/>
      <c r="V44" s="29"/>
      <c r="W44" s="30"/>
    </row>
    <row r="45">
      <c r="H45" s="7"/>
      <c r="P45" s="29"/>
      <c r="Q45" s="30"/>
      <c r="W45" s="7"/>
    </row>
    <row r="46">
      <c r="H46" s="7"/>
      <c r="P46" s="26"/>
      <c r="Q46" s="27"/>
      <c r="W46" s="7"/>
    </row>
    <row r="47">
      <c r="H47" s="7"/>
      <c r="P47" s="29"/>
      <c r="Q47" s="30"/>
      <c r="W47" s="7"/>
    </row>
    <row r="48">
      <c r="H48" s="7"/>
      <c r="P48" s="26"/>
      <c r="Q48" s="27"/>
      <c r="W48" s="7"/>
    </row>
    <row r="49">
      <c r="H49" s="7"/>
      <c r="P49" s="29"/>
      <c r="Q49" s="30"/>
      <c r="W49" s="7"/>
    </row>
    <row r="50">
      <c r="H50" s="7"/>
      <c r="P50" s="26"/>
      <c r="Q50" s="27"/>
      <c r="W50" s="7"/>
    </row>
    <row r="51">
      <c r="H51" s="7"/>
      <c r="P51" s="29"/>
      <c r="Q51" s="30"/>
      <c r="W51" s="7"/>
    </row>
    <row r="52">
      <c r="H52" s="7"/>
      <c r="P52" s="26"/>
      <c r="Q52" s="27"/>
      <c r="W52" s="7"/>
    </row>
    <row r="53">
      <c r="H53" s="7"/>
      <c r="P53" s="29"/>
      <c r="Q53" s="30"/>
      <c r="W53" s="7"/>
    </row>
    <row r="54">
      <c r="H54" s="7"/>
      <c r="P54" s="26"/>
      <c r="Q54" s="27"/>
      <c r="W54" s="7"/>
    </row>
    <row r="55">
      <c r="H55" s="7"/>
      <c r="P55" s="29"/>
      <c r="Q55" s="30"/>
      <c r="W55" s="7"/>
    </row>
    <row r="56">
      <c r="H56" s="7"/>
      <c r="Q56" s="7"/>
      <c r="W56" s="7"/>
    </row>
    <row r="57">
      <c r="H57" s="7"/>
      <c r="Q57" s="7"/>
      <c r="W57" s="7"/>
    </row>
    <row r="58">
      <c r="H58" s="7"/>
      <c r="Q58" s="7"/>
      <c r="W58" s="7"/>
    </row>
    <row r="59">
      <c r="H59" s="7"/>
      <c r="Q59" s="7"/>
      <c r="W59" s="7"/>
    </row>
    <row r="60">
      <c r="H60" s="7"/>
      <c r="Q60" s="7"/>
      <c r="W60" s="7"/>
    </row>
    <row r="61">
      <c r="H61" s="7"/>
      <c r="Q61" s="7"/>
      <c r="W61" s="7"/>
    </row>
    <row r="62">
      <c r="H62" s="7"/>
      <c r="Q62" s="7"/>
      <c r="W62" s="7"/>
    </row>
    <row r="63">
      <c r="H63" s="7"/>
      <c r="Q63" s="7"/>
      <c r="W63" s="7"/>
    </row>
    <row r="64">
      <c r="H64" s="7"/>
      <c r="Q64" s="7"/>
      <c r="W64" s="7"/>
    </row>
    <row r="65">
      <c r="H65" s="7"/>
      <c r="Q65" s="7"/>
      <c r="W65" s="7"/>
    </row>
    <row r="66">
      <c r="H66" s="7"/>
      <c r="Q66" s="7"/>
      <c r="W66" s="7"/>
    </row>
    <row r="67">
      <c r="H67" s="7"/>
      <c r="Q67" s="7"/>
      <c r="W67" s="7"/>
    </row>
    <row r="68">
      <c r="H68" s="7"/>
      <c r="Q68" s="7"/>
      <c r="W68" s="7"/>
    </row>
    <row r="69">
      <c r="H69" s="7"/>
      <c r="Q69" s="7"/>
      <c r="W69" s="7"/>
    </row>
    <row r="70">
      <c r="H70" s="7"/>
      <c r="Q70" s="7"/>
      <c r="W70" s="7"/>
    </row>
    <row r="71">
      <c r="H71" s="7"/>
      <c r="Q71" s="7"/>
      <c r="W71" s="7"/>
    </row>
    <row r="72">
      <c r="H72" s="7"/>
      <c r="Q72" s="7"/>
      <c r="W72" s="7"/>
    </row>
    <row r="73">
      <c r="H73" s="7"/>
      <c r="Q73" s="7"/>
      <c r="W73" s="7"/>
    </row>
    <row r="74">
      <c r="H74" s="7"/>
      <c r="Q74" s="7"/>
      <c r="W74" s="7"/>
    </row>
    <row r="75">
      <c r="H75" s="7"/>
      <c r="Q75" s="7"/>
      <c r="W75" s="7"/>
    </row>
    <row r="76">
      <c r="H76" s="7"/>
      <c r="Q76" s="7"/>
      <c r="W76" s="7"/>
    </row>
    <row r="77">
      <c r="H77" s="7"/>
      <c r="Q77" s="7"/>
      <c r="W77" s="7"/>
    </row>
    <row r="78">
      <c r="H78" s="7"/>
      <c r="Q78" s="7"/>
      <c r="W78" s="7"/>
    </row>
    <row r="79">
      <c r="H79" s="7"/>
      <c r="Q79" s="7"/>
      <c r="W79" s="7"/>
    </row>
    <row r="80">
      <c r="H80" s="7"/>
      <c r="Q80" s="7"/>
      <c r="W80" s="7"/>
    </row>
    <row r="81">
      <c r="H81" s="7"/>
      <c r="Q81" s="7"/>
      <c r="W81" s="7"/>
    </row>
    <row r="82">
      <c r="H82" s="7"/>
      <c r="Q82" s="7"/>
      <c r="W82" s="7"/>
    </row>
    <row r="83">
      <c r="H83" s="7"/>
      <c r="Q83" s="7"/>
      <c r="W83" s="7"/>
    </row>
    <row r="84">
      <c r="H84" s="7"/>
      <c r="Q84" s="7"/>
      <c r="W84" s="7"/>
    </row>
    <row r="85">
      <c r="H85" s="7"/>
      <c r="Q85" s="7"/>
      <c r="W85" s="7"/>
    </row>
    <row r="86">
      <c r="H86" s="7"/>
      <c r="Q86" s="7"/>
      <c r="W86" s="7"/>
    </row>
    <row r="87">
      <c r="H87" s="7"/>
      <c r="Q87" s="7"/>
      <c r="W87" s="7"/>
    </row>
    <row r="88">
      <c r="H88" s="7"/>
      <c r="Q88" s="7"/>
      <c r="W88" s="7"/>
    </row>
    <row r="89">
      <c r="H89" s="7"/>
      <c r="Q89" s="7"/>
      <c r="W89" s="7"/>
    </row>
    <row r="90">
      <c r="H90" s="7"/>
      <c r="Q90" s="7"/>
      <c r="W90" s="7"/>
    </row>
    <row r="91">
      <c r="H91" s="7"/>
      <c r="Q91" s="7"/>
      <c r="W91" s="7"/>
    </row>
    <row r="92">
      <c r="H92" s="7"/>
      <c r="Q92" s="7"/>
      <c r="W92" s="7"/>
    </row>
    <row r="93">
      <c r="H93" s="7"/>
      <c r="Q93" s="7"/>
      <c r="W93" s="7"/>
    </row>
    <row r="94">
      <c r="H94" s="7"/>
      <c r="Q94" s="7"/>
      <c r="W94" s="7"/>
    </row>
    <row r="95">
      <c r="H95" s="7"/>
      <c r="Q95" s="7"/>
      <c r="W95" s="7"/>
    </row>
    <row r="96">
      <c r="H96" s="7"/>
      <c r="Q96" s="7"/>
      <c r="W96" s="7"/>
    </row>
    <row r="97">
      <c r="H97" s="7"/>
      <c r="Q97" s="7"/>
      <c r="W97" s="7"/>
    </row>
    <row r="98">
      <c r="H98" s="7"/>
      <c r="Q98" s="7"/>
      <c r="W98" s="7"/>
    </row>
    <row r="99">
      <c r="H99" s="7"/>
      <c r="Q99" s="7"/>
      <c r="W99" s="7"/>
    </row>
    <row r="100">
      <c r="H100" s="7"/>
      <c r="Q100" s="7"/>
      <c r="W100" s="7"/>
    </row>
    <row r="101">
      <c r="H101" s="7"/>
      <c r="Q101" s="7"/>
      <c r="W101" s="7"/>
    </row>
    <row r="102">
      <c r="H102" s="7"/>
      <c r="Q102" s="7"/>
      <c r="W102" s="7"/>
    </row>
    <row r="103">
      <c r="H103" s="7"/>
      <c r="Q103" s="7"/>
      <c r="W103" s="7"/>
    </row>
    <row r="104">
      <c r="H104" s="7"/>
      <c r="Q104" s="7"/>
      <c r="W104" s="7"/>
    </row>
    <row r="105">
      <c r="H105" s="7"/>
      <c r="Q105" s="7"/>
      <c r="W105" s="7"/>
    </row>
    <row r="106">
      <c r="H106" s="7"/>
      <c r="Q106" s="7"/>
      <c r="W106" s="7"/>
    </row>
    <row r="107">
      <c r="H107" s="7"/>
      <c r="Q107" s="7"/>
      <c r="W107" s="7"/>
    </row>
    <row r="108">
      <c r="H108" s="7"/>
      <c r="Q108" s="7"/>
      <c r="W108" s="7"/>
    </row>
    <row r="109">
      <c r="H109" s="7"/>
      <c r="Q109" s="7"/>
      <c r="W109" s="7"/>
    </row>
    <row r="110">
      <c r="H110" s="7"/>
      <c r="Q110" s="7"/>
      <c r="W110" s="7"/>
    </row>
    <row r="111">
      <c r="H111" s="7"/>
      <c r="Q111" s="7"/>
      <c r="W111" s="7"/>
    </row>
    <row r="112">
      <c r="H112" s="7"/>
      <c r="Q112" s="7"/>
      <c r="W112" s="7"/>
    </row>
    <row r="113">
      <c r="H113" s="7"/>
      <c r="Q113" s="7"/>
      <c r="W113" s="7"/>
    </row>
    <row r="114">
      <c r="H114" s="7"/>
      <c r="Q114" s="7"/>
      <c r="W114" s="7"/>
    </row>
    <row r="115">
      <c r="H115" s="7"/>
      <c r="Q115" s="7"/>
      <c r="W115" s="7"/>
    </row>
    <row r="116">
      <c r="H116" s="7"/>
      <c r="Q116" s="7"/>
      <c r="W116" s="7"/>
    </row>
    <row r="117">
      <c r="H117" s="7"/>
      <c r="Q117" s="7"/>
      <c r="W117" s="7"/>
    </row>
    <row r="118">
      <c r="H118" s="7"/>
      <c r="Q118" s="7"/>
      <c r="W118" s="7"/>
    </row>
    <row r="119">
      <c r="H119" s="7"/>
      <c r="Q119" s="7"/>
      <c r="W119" s="7"/>
    </row>
    <row r="120">
      <c r="H120" s="7"/>
      <c r="Q120" s="7"/>
      <c r="W120" s="7"/>
    </row>
    <row r="121">
      <c r="H121" s="7"/>
      <c r="Q121" s="7"/>
      <c r="W121" s="7"/>
    </row>
    <row r="122">
      <c r="H122" s="7"/>
      <c r="Q122" s="7"/>
      <c r="W122" s="7"/>
    </row>
    <row r="123">
      <c r="H123" s="7"/>
      <c r="Q123" s="7"/>
      <c r="W123" s="7"/>
    </row>
    <row r="124">
      <c r="H124" s="7"/>
      <c r="Q124" s="7"/>
      <c r="W124" s="7"/>
    </row>
    <row r="125">
      <c r="H125" s="7"/>
      <c r="Q125" s="7"/>
      <c r="W125" s="7"/>
    </row>
    <row r="126">
      <c r="H126" s="7"/>
      <c r="Q126" s="7"/>
      <c r="W126" s="7"/>
    </row>
    <row r="127">
      <c r="H127" s="7"/>
      <c r="Q127" s="7"/>
      <c r="W127" s="7"/>
    </row>
    <row r="128">
      <c r="H128" s="7"/>
      <c r="Q128" s="7"/>
      <c r="W128" s="7"/>
    </row>
    <row r="129">
      <c r="H129" s="7"/>
      <c r="Q129" s="7"/>
      <c r="W129" s="7"/>
    </row>
    <row r="130">
      <c r="H130" s="7"/>
      <c r="Q130" s="7"/>
      <c r="W130" s="7"/>
    </row>
    <row r="131">
      <c r="H131" s="7"/>
      <c r="Q131" s="7"/>
      <c r="W131" s="7"/>
    </row>
    <row r="132">
      <c r="H132" s="7"/>
      <c r="Q132" s="7"/>
      <c r="W132" s="7"/>
    </row>
    <row r="133">
      <c r="H133" s="7"/>
      <c r="Q133" s="7"/>
      <c r="W133" s="7"/>
    </row>
    <row r="134">
      <c r="H134" s="7"/>
      <c r="Q134" s="7"/>
      <c r="W134" s="7"/>
    </row>
    <row r="135">
      <c r="H135" s="7"/>
      <c r="Q135" s="7"/>
      <c r="W135" s="7"/>
    </row>
    <row r="136">
      <c r="H136" s="7"/>
      <c r="Q136" s="7"/>
      <c r="W136" s="7"/>
    </row>
    <row r="137">
      <c r="H137" s="7"/>
      <c r="Q137" s="7"/>
      <c r="W137" s="7"/>
    </row>
    <row r="138">
      <c r="H138" s="7"/>
      <c r="Q138" s="7"/>
      <c r="W138" s="7"/>
    </row>
    <row r="139">
      <c r="H139" s="7"/>
      <c r="Q139" s="7"/>
      <c r="W139" s="7"/>
    </row>
    <row r="140">
      <c r="H140" s="7"/>
      <c r="Q140" s="7"/>
      <c r="W140" s="7"/>
    </row>
    <row r="141">
      <c r="H141" s="7"/>
      <c r="Q141" s="7"/>
      <c r="W141" s="7"/>
    </row>
    <row r="142">
      <c r="H142" s="7"/>
      <c r="Q142" s="7"/>
      <c r="W142" s="7"/>
    </row>
    <row r="143">
      <c r="H143" s="7"/>
      <c r="Q143" s="7"/>
      <c r="W143" s="7"/>
    </row>
    <row r="144">
      <c r="H144" s="7"/>
      <c r="Q144" s="7"/>
      <c r="W144" s="7"/>
    </row>
    <row r="145">
      <c r="H145" s="7"/>
      <c r="Q145" s="7"/>
      <c r="W145" s="7"/>
    </row>
    <row r="146">
      <c r="H146" s="7"/>
      <c r="Q146" s="7"/>
      <c r="W146" s="7"/>
    </row>
    <row r="147">
      <c r="H147" s="7"/>
      <c r="Q147" s="7"/>
      <c r="W147" s="7"/>
    </row>
    <row r="148">
      <c r="H148" s="7"/>
      <c r="Q148" s="7"/>
      <c r="W148" s="7"/>
    </row>
    <row r="149">
      <c r="H149" s="7"/>
      <c r="Q149" s="7"/>
      <c r="W149" s="7"/>
    </row>
    <row r="150">
      <c r="H150" s="7"/>
      <c r="Q150" s="7"/>
      <c r="W150" s="7"/>
    </row>
    <row r="151">
      <c r="H151" s="7"/>
      <c r="Q151" s="7"/>
      <c r="W151" s="7"/>
    </row>
    <row r="152">
      <c r="H152" s="7"/>
      <c r="Q152" s="7"/>
      <c r="W152" s="7"/>
    </row>
    <row r="153">
      <c r="H153" s="7"/>
      <c r="Q153" s="7"/>
      <c r="W153" s="7"/>
    </row>
    <row r="154">
      <c r="H154" s="7"/>
      <c r="Q154" s="7"/>
      <c r="W154" s="7"/>
    </row>
    <row r="155">
      <c r="H155" s="7"/>
      <c r="Q155" s="7"/>
      <c r="W155" s="7"/>
    </row>
    <row r="156">
      <c r="H156" s="7"/>
      <c r="Q156" s="7"/>
      <c r="W156" s="7"/>
    </row>
    <row r="157">
      <c r="H157" s="7"/>
      <c r="Q157" s="7"/>
      <c r="W157" s="7"/>
    </row>
    <row r="158">
      <c r="H158" s="7"/>
      <c r="Q158" s="7"/>
      <c r="W158" s="7"/>
    </row>
    <row r="159">
      <c r="H159" s="7"/>
      <c r="Q159" s="7"/>
      <c r="W159" s="7"/>
    </row>
    <row r="160">
      <c r="H160" s="7"/>
      <c r="Q160" s="7"/>
      <c r="W160" s="7"/>
    </row>
    <row r="161">
      <c r="H161" s="7"/>
      <c r="Q161" s="7"/>
      <c r="W161" s="7"/>
    </row>
    <row r="162">
      <c r="H162" s="7"/>
      <c r="Q162" s="7"/>
      <c r="W162" s="7"/>
    </row>
    <row r="163">
      <c r="H163" s="7"/>
      <c r="Q163" s="7"/>
      <c r="W163" s="7"/>
    </row>
    <row r="164">
      <c r="H164" s="7"/>
      <c r="Q164" s="7"/>
      <c r="W164" s="7"/>
    </row>
    <row r="165">
      <c r="H165" s="7"/>
      <c r="Q165" s="7"/>
      <c r="W165" s="7"/>
    </row>
    <row r="166">
      <c r="H166" s="7"/>
      <c r="Q166" s="7"/>
      <c r="W166" s="7"/>
    </row>
    <row r="167">
      <c r="H167" s="7"/>
      <c r="Q167" s="7"/>
      <c r="W167" s="7"/>
    </row>
    <row r="168">
      <c r="H168" s="7"/>
      <c r="Q168" s="7"/>
      <c r="W168" s="7"/>
    </row>
    <row r="169">
      <c r="H169" s="7"/>
      <c r="Q169" s="7"/>
      <c r="W169" s="7"/>
    </row>
    <row r="170">
      <c r="H170" s="7"/>
      <c r="Q170" s="7"/>
      <c r="W170" s="7"/>
    </row>
    <row r="171">
      <c r="H171" s="7"/>
      <c r="Q171" s="7"/>
      <c r="W171" s="7"/>
    </row>
    <row r="172">
      <c r="H172" s="7"/>
      <c r="Q172" s="7"/>
      <c r="W172" s="7"/>
    </row>
    <row r="173">
      <c r="H173" s="7"/>
      <c r="Q173" s="7"/>
      <c r="W173" s="7"/>
    </row>
    <row r="174">
      <c r="H174" s="7"/>
      <c r="Q174" s="7"/>
      <c r="W174" s="7"/>
    </row>
    <row r="175">
      <c r="H175" s="7"/>
      <c r="Q175" s="7"/>
      <c r="W175" s="7"/>
    </row>
    <row r="176">
      <c r="H176" s="7"/>
      <c r="Q176" s="7"/>
      <c r="W176" s="7"/>
    </row>
    <row r="177">
      <c r="H177" s="7"/>
      <c r="Q177" s="7"/>
      <c r="W177" s="7"/>
    </row>
    <row r="178">
      <c r="H178" s="7"/>
      <c r="Q178" s="7"/>
      <c r="W178" s="7"/>
    </row>
    <row r="179">
      <c r="H179" s="7"/>
      <c r="Q179" s="7"/>
      <c r="W179" s="7"/>
    </row>
    <row r="180">
      <c r="H180" s="7"/>
      <c r="Q180" s="7"/>
      <c r="W180" s="7"/>
    </row>
    <row r="181">
      <c r="H181" s="7"/>
      <c r="Q181" s="7"/>
      <c r="W181" s="7"/>
    </row>
    <row r="182">
      <c r="H182" s="7"/>
      <c r="Q182" s="7"/>
      <c r="W182" s="7"/>
    </row>
    <row r="183">
      <c r="H183" s="7"/>
      <c r="Q183" s="7"/>
      <c r="W183" s="7"/>
    </row>
    <row r="184">
      <c r="H184" s="7"/>
      <c r="Q184" s="7"/>
      <c r="W184" s="7"/>
    </row>
    <row r="185">
      <c r="H185" s="7"/>
      <c r="Q185" s="7"/>
      <c r="W185" s="7"/>
    </row>
    <row r="186">
      <c r="H186" s="7"/>
      <c r="Q186" s="7"/>
      <c r="W186" s="7"/>
    </row>
    <row r="187">
      <c r="H187" s="7"/>
      <c r="Q187" s="7"/>
      <c r="W187" s="7"/>
    </row>
    <row r="188">
      <c r="H188" s="7"/>
      <c r="Q188" s="7"/>
      <c r="W188" s="7"/>
    </row>
    <row r="189">
      <c r="H189" s="7"/>
      <c r="Q189" s="7"/>
      <c r="W189" s="7"/>
    </row>
    <row r="190">
      <c r="H190" s="7"/>
      <c r="Q190" s="7"/>
      <c r="W190" s="7"/>
    </row>
    <row r="191">
      <c r="H191" s="7"/>
      <c r="Q191" s="7"/>
      <c r="W191" s="7"/>
    </row>
    <row r="192">
      <c r="H192" s="7"/>
      <c r="Q192" s="7"/>
      <c r="W192" s="7"/>
    </row>
    <row r="193">
      <c r="H193" s="7"/>
      <c r="Q193" s="7"/>
      <c r="W193" s="7"/>
    </row>
    <row r="194">
      <c r="H194" s="7"/>
      <c r="Q194" s="7"/>
      <c r="W194" s="7"/>
    </row>
    <row r="195">
      <c r="H195" s="7"/>
      <c r="Q195" s="7"/>
      <c r="W195" s="7"/>
    </row>
    <row r="196">
      <c r="H196" s="7"/>
      <c r="Q196" s="7"/>
      <c r="W196" s="7"/>
    </row>
    <row r="197">
      <c r="H197" s="7"/>
      <c r="Q197" s="7"/>
      <c r="W197" s="7"/>
    </row>
    <row r="198">
      <c r="H198" s="7"/>
      <c r="Q198" s="7"/>
      <c r="W198" s="7"/>
    </row>
    <row r="199">
      <c r="H199" s="7"/>
      <c r="Q199" s="7"/>
      <c r="W199" s="7"/>
    </row>
    <row r="200">
      <c r="H200" s="7"/>
      <c r="Q200" s="7"/>
      <c r="W200" s="7"/>
    </row>
    <row r="201">
      <c r="H201" s="7"/>
      <c r="Q201" s="7"/>
      <c r="W201" s="7"/>
    </row>
    <row r="202">
      <c r="H202" s="7"/>
      <c r="Q202" s="7"/>
      <c r="W202" s="7"/>
    </row>
    <row r="203">
      <c r="H203" s="7"/>
      <c r="Q203" s="7"/>
      <c r="W203" s="7"/>
    </row>
    <row r="204">
      <c r="H204" s="7"/>
      <c r="Q204" s="7"/>
      <c r="W204" s="7"/>
    </row>
    <row r="205">
      <c r="H205" s="7"/>
      <c r="Q205" s="7"/>
      <c r="W205" s="7"/>
    </row>
    <row r="206">
      <c r="H206" s="7"/>
      <c r="Q206" s="7"/>
      <c r="W206" s="7"/>
    </row>
    <row r="207">
      <c r="H207" s="7"/>
      <c r="Q207" s="7"/>
      <c r="W207" s="7"/>
    </row>
    <row r="208">
      <c r="H208" s="7"/>
      <c r="Q208" s="7"/>
      <c r="W208" s="7"/>
    </row>
    <row r="209">
      <c r="H209" s="7"/>
      <c r="Q209" s="7"/>
      <c r="W209" s="7"/>
    </row>
    <row r="210">
      <c r="H210" s="7"/>
      <c r="Q210" s="7"/>
      <c r="W210" s="7"/>
    </row>
    <row r="211">
      <c r="H211" s="7"/>
      <c r="Q211" s="7"/>
      <c r="W211" s="7"/>
    </row>
    <row r="212">
      <c r="H212" s="7"/>
      <c r="Q212" s="7"/>
      <c r="W212" s="7"/>
    </row>
    <row r="213">
      <c r="H213" s="7"/>
      <c r="Q213" s="7"/>
      <c r="W213" s="7"/>
    </row>
    <row r="214">
      <c r="H214" s="7"/>
      <c r="Q214" s="7"/>
      <c r="W214" s="7"/>
    </row>
    <row r="215">
      <c r="H215" s="7"/>
      <c r="Q215" s="7"/>
      <c r="W215" s="7"/>
    </row>
    <row r="216">
      <c r="H216" s="7"/>
      <c r="Q216" s="7"/>
      <c r="W216" s="7"/>
    </row>
    <row r="217">
      <c r="H217" s="7"/>
      <c r="Q217" s="7"/>
      <c r="W217" s="7"/>
    </row>
    <row r="218">
      <c r="H218" s="7"/>
      <c r="Q218" s="7"/>
      <c r="W218" s="7"/>
    </row>
    <row r="219">
      <c r="H219" s="7"/>
      <c r="Q219" s="7"/>
      <c r="W219" s="7"/>
    </row>
    <row r="220">
      <c r="H220" s="7"/>
      <c r="Q220" s="7"/>
      <c r="W220" s="7"/>
    </row>
    <row r="221">
      <c r="H221" s="7"/>
      <c r="Q221" s="7"/>
      <c r="W221" s="7"/>
    </row>
    <row r="222">
      <c r="H222" s="7"/>
      <c r="Q222" s="7"/>
      <c r="W222" s="7"/>
    </row>
    <row r="223">
      <c r="H223" s="7"/>
      <c r="Q223" s="7"/>
      <c r="W223" s="7"/>
    </row>
    <row r="224">
      <c r="H224" s="7"/>
      <c r="Q224" s="7"/>
      <c r="W224" s="7"/>
    </row>
    <row r="225">
      <c r="H225" s="7"/>
      <c r="Q225" s="7"/>
      <c r="W225" s="7"/>
    </row>
    <row r="226">
      <c r="H226" s="7"/>
      <c r="Q226" s="7"/>
      <c r="W226" s="7"/>
    </row>
    <row r="227">
      <c r="H227" s="7"/>
      <c r="Q227" s="7"/>
      <c r="W227" s="7"/>
    </row>
    <row r="228">
      <c r="H228" s="7"/>
      <c r="Q228" s="7"/>
      <c r="W228" s="7"/>
    </row>
    <row r="229">
      <c r="H229" s="7"/>
      <c r="Q229" s="7"/>
      <c r="W229" s="7"/>
    </row>
    <row r="230">
      <c r="H230" s="7"/>
      <c r="Q230" s="7"/>
      <c r="W230" s="7"/>
    </row>
    <row r="231">
      <c r="H231" s="7"/>
      <c r="Q231" s="7"/>
      <c r="W231" s="7"/>
    </row>
    <row r="232">
      <c r="H232" s="7"/>
      <c r="Q232" s="7"/>
      <c r="W232" s="7"/>
    </row>
    <row r="233">
      <c r="H233" s="7"/>
      <c r="Q233" s="7"/>
      <c r="W233" s="7"/>
    </row>
    <row r="234">
      <c r="H234" s="7"/>
      <c r="Q234" s="7"/>
      <c r="W234" s="7"/>
    </row>
    <row r="235">
      <c r="H235" s="7"/>
      <c r="Q235" s="7"/>
      <c r="W235" s="7"/>
    </row>
    <row r="236">
      <c r="H236" s="7"/>
      <c r="Q236" s="7"/>
      <c r="W236" s="7"/>
    </row>
    <row r="237">
      <c r="H237" s="7"/>
      <c r="Q237" s="7"/>
      <c r="W237" s="7"/>
    </row>
    <row r="238">
      <c r="H238" s="7"/>
      <c r="Q238" s="7"/>
      <c r="W238" s="7"/>
    </row>
    <row r="239">
      <c r="H239" s="7"/>
      <c r="Q239" s="7"/>
      <c r="W239" s="7"/>
    </row>
    <row r="240">
      <c r="H240" s="7"/>
      <c r="Q240" s="7"/>
      <c r="W240" s="7"/>
    </row>
    <row r="241">
      <c r="H241" s="7"/>
      <c r="Q241" s="7"/>
      <c r="W241" s="7"/>
    </row>
    <row r="242">
      <c r="H242" s="7"/>
      <c r="Q242" s="7"/>
      <c r="W242" s="7"/>
    </row>
    <row r="243">
      <c r="H243" s="7"/>
      <c r="Q243" s="7"/>
      <c r="W243" s="7"/>
    </row>
    <row r="244">
      <c r="H244" s="7"/>
      <c r="Q244" s="7"/>
      <c r="W244" s="7"/>
    </row>
    <row r="245">
      <c r="H245" s="7"/>
      <c r="Q245" s="7"/>
      <c r="W245" s="7"/>
    </row>
    <row r="246">
      <c r="H246" s="7"/>
      <c r="Q246" s="7"/>
      <c r="W246" s="7"/>
    </row>
    <row r="247">
      <c r="H247" s="7"/>
      <c r="Q247" s="7"/>
      <c r="W247" s="7"/>
    </row>
    <row r="248">
      <c r="H248" s="7"/>
      <c r="Q248" s="7"/>
      <c r="W248" s="7"/>
    </row>
    <row r="249">
      <c r="H249" s="7"/>
      <c r="Q249" s="7"/>
      <c r="W249" s="7"/>
    </row>
    <row r="250">
      <c r="H250" s="7"/>
      <c r="Q250" s="7"/>
      <c r="W250" s="7"/>
    </row>
    <row r="251">
      <c r="H251" s="7"/>
      <c r="Q251" s="7"/>
      <c r="W251" s="7"/>
    </row>
    <row r="252">
      <c r="H252" s="7"/>
      <c r="Q252" s="7"/>
      <c r="W252" s="7"/>
    </row>
    <row r="253">
      <c r="H253" s="7"/>
      <c r="Q253" s="7"/>
      <c r="W253" s="7"/>
    </row>
    <row r="254">
      <c r="H254" s="7"/>
      <c r="Q254" s="7"/>
      <c r="W254" s="7"/>
    </row>
    <row r="255">
      <c r="H255" s="7"/>
      <c r="Q255" s="7"/>
      <c r="W255" s="7"/>
    </row>
    <row r="256">
      <c r="H256" s="7"/>
      <c r="Q256" s="7"/>
      <c r="W256" s="7"/>
    </row>
    <row r="257">
      <c r="H257" s="7"/>
      <c r="Q257" s="7"/>
      <c r="W257" s="7"/>
    </row>
    <row r="258">
      <c r="H258" s="7"/>
      <c r="Q258" s="7"/>
      <c r="W258" s="7"/>
    </row>
    <row r="259">
      <c r="H259" s="7"/>
      <c r="Q259" s="7"/>
      <c r="W259" s="7"/>
    </row>
    <row r="260">
      <c r="H260" s="7"/>
      <c r="Q260" s="7"/>
      <c r="W260" s="7"/>
    </row>
    <row r="261">
      <c r="H261" s="7"/>
      <c r="Q261" s="7"/>
      <c r="W261" s="7"/>
    </row>
    <row r="262">
      <c r="H262" s="7"/>
      <c r="Q262" s="7"/>
      <c r="W262" s="7"/>
    </row>
    <row r="263">
      <c r="H263" s="7"/>
      <c r="Q263" s="7"/>
      <c r="W263" s="7"/>
    </row>
    <row r="264">
      <c r="H264" s="7"/>
      <c r="Q264" s="7"/>
      <c r="W264" s="7"/>
    </row>
    <row r="265">
      <c r="H265" s="7"/>
      <c r="Q265" s="7"/>
      <c r="W265" s="7"/>
    </row>
    <row r="266">
      <c r="H266" s="7"/>
      <c r="Q266" s="7"/>
      <c r="W266" s="7"/>
    </row>
    <row r="267">
      <c r="H267" s="7"/>
      <c r="Q267" s="7"/>
      <c r="W267" s="7"/>
    </row>
    <row r="268">
      <c r="H268" s="7"/>
      <c r="Q268" s="7"/>
      <c r="W268" s="7"/>
    </row>
    <row r="269">
      <c r="H269" s="7"/>
      <c r="Q269" s="7"/>
      <c r="W269" s="7"/>
    </row>
    <row r="270">
      <c r="H270" s="7"/>
      <c r="Q270" s="7"/>
      <c r="W270" s="7"/>
    </row>
    <row r="271">
      <c r="H271" s="7"/>
      <c r="Q271" s="7"/>
      <c r="W271" s="7"/>
    </row>
    <row r="272">
      <c r="H272" s="7"/>
      <c r="Q272" s="7"/>
      <c r="W272" s="7"/>
    </row>
    <row r="273">
      <c r="H273" s="7"/>
      <c r="Q273" s="7"/>
      <c r="W273" s="7"/>
    </row>
    <row r="274">
      <c r="H274" s="7"/>
      <c r="Q274" s="7"/>
      <c r="W274" s="7"/>
    </row>
    <row r="275">
      <c r="H275" s="7"/>
      <c r="Q275" s="7"/>
      <c r="W275" s="7"/>
    </row>
    <row r="276">
      <c r="H276" s="7"/>
      <c r="Q276" s="7"/>
      <c r="W276" s="7"/>
    </row>
    <row r="277">
      <c r="H277" s="7"/>
      <c r="Q277" s="7"/>
      <c r="W277" s="7"/>
    </row>
    <row r="278">
      <c r="H278" s="7"/>
      <c r="Q278" s="7"/>
      <c r="W278" s="7"/>
    </row>
    <row r="279">
      <c r="H279" s="7"/>
      <c r="Q279" s="7"/>
      <c r="W279" s="7"/>
    </row>
    <row r="280">
      <c r="H280" s="7"/>
      <c r="Q280" s="7"/>
      <c r="W280" s="7"/>
    </row>
    <row r="281">
      <c r="H281" s="7"/>
      <c r="Q281" s="7"/>
      <c r="W281" s="7"/>
    </row>
    <row r="282">
      <c r="H282" s="7"/>
      <c r="Q282" s="7"/>
      <c r="W282" s="7"/>
    </row>
    <row r="283">
      <c r="H283" s="7"/>
      <c r="Q283" s="7"/>
      <c r="W283" s="7"/>
    </row>
    <row r="284">
      <c r="H284" s="7"/>
      <c r="Q284" s="7"/>
      <c r="W284" s="7"/>
    </row>
    <row r="285">
      <c r="H285" s="7"/>
      <c r="Q285" s="7"/>
      <c r="W285" s="7"/>
    </row>
    <row r="286">
      <c r="H286" s="7"/>
      <c r="Q286" s="7"/>
      <c r="W286" s="7"/>
    </row>
    <row r="287">
      <c r="H287" s="7"/>
      <c r="Q287" s="7"/>
      <c r="W287" s="7"/>
    </row>
    <row r="288">
      <c r="H288" s="7"/>
      <c r="Q288" s="7"/>
      <c r="W288" s="7"/>
    </row>
    <row r="289">
      <c r="H289" s="7"/>
      <c r="Q289" s="7"/>
      <c r="W289" s="7"/>
    </row>
    <row r="290">
      <c r="H290" s="7"/>
      <c r="Q290" s="7"/>
      <c r="W290" s="7"/>
    </row>
    <row r="291">
      <c r="H291" s="7"/>
      <c r="Q291" s="7"/>
      <c r="W291" s="7"/>
    </row>
    <row r="292">
      <c r="H292" s="7"/>
      <c r="Q292" s="7"/>
      <c r="W292" s="7"/>
    </row>
    <row r="293">
      <c r="H293" s="7"/>
      <c r="Q293" s="7"/>
      <c r="W293" s="7"/>
    </row>
    <row r="294">
      <c r="H294" s="7"/>
      <c r="Q294" s="7"/>
      <c r="W294" s="7"/>
    </row>
    <row r="295">
      <c r="H295" s="7"/>
      <c r="Q295" s="7"/>
      <c r="W295" s="7"/>
    </row>
    <row r="296">
      <c r="H296" s="7"/>
      <c r="Q296" s="7"/>
      <c r="W296" s="7"/>
    </row>
    <row r="297">
      <c r="H297" s="7"/>
      <c r="Q297" s="7"/>
      <c r="W297" s="7"/>
    </row>
    <row r="298">
      <c r="H298" s="7"/>
      <c r="Q298" s="7"/>
      <c r="W298" s="7"/>
    </row>
    <row r="299">
      <c r="H299" s="7"/>
      <c r="Q299" s="7"/>
      <c r="W299" s="7"/>
    </row>
    <row r="300">
      <c r="H300" s="7"/>
      <c r="Q300" s="7"/>
      <c r="W300" s="7"/>
    </row>
    <row r="301">
      <c r="H301" s="7"/>
      <c r="Q301" s="7"/>
      <c r="W301" s="7"/>
    </row>
    <row r="302">
      <c r="H302" s="7"/>
      <c r="Q302" s="7"/>
      <c r="W302" s="7"/>
    </row>
    <row r="303">
      <c r="H303" s="7"/>
      <c r="Q303" s="7"/>
      <c r="W303" s="7"/>
    </row>
    <row r="304">
      <c r="H304" s="7"/>
      <c r="Q304" s="7"/>
      <c r="W304" s="7"/>
    </row>
    <row r="305">
      <c r="H305" s="7"/>
      <c r="Q305" s="7"/>
      <c r="W305" s="7"/>
    </row>
    <row r="306">
      <c r="H306" s="7"/>
      <c r="Q306" s="7"/>
      <c r="W306" s="7"/>
    </row>
    <row r="307">
      <c r="H307" s="7"/>
      <c r="Q307" s="7"/>
      <c r="W307" s="7"/>
    </row>
    <row r="308">
      <c r="H308" s="7"/>
      <c r="Q308" s="7"/>
      <c r="W308" s="7"/>
    </row>
    <row r="309">
      <c r="H309" s="7"/>
      <c r="Q309" s="7"/>
      <c r="W309" s="7"/>
    </row>
    <row r="310">
      <c r="H310" s="7"/>
      <c r="Q310" s="7"/>
      <c r="W310" s="7"/>
    </row>
    <row r="311">
      <c r="H311" s="7"/>
      <c r="Q311" s="7"/>
      <c r="W311" s="7"/>
    </row>
    <row r="312">
      <c r="H312" s="7"/>
      <c r="Q312" s="7"/>
      <c r="W312" s="7"/>
    </row>
    <row r="313">
      <c r="H313" s="7"/>
      <c r="Q313" s="7"/>
      <c r="W313" s="7"/>
    </row>
    <row r="314">
      <c r="H314" s="7"/>
      <c r="Q314" s="7"/>
      <c r="W314" s="7"/>
    </row>
    <row r="315">
      <c r="H315" s="7"/>
      <c r="Q315" s="7"/>
      <c r="W315" s="7"/>
    </row>
    <row r="316">
      <c r="H316" s="7"/>
      <c r="Q316" s="7"/>
      <c r="W316" s="7"/>
    </row>
    <row r="317">
      <c r="H317" s="7"/>
      <c r="Q317" s="7"/>
      <c r="W317" s="7"/>
    </row>
    <row r="318">
      <c r="H318" s="7"/>
      <c r="Q318" s="7"/>
      <c r="W318" s="7"/>
    </row>
    <row r="319">
      <c r="H319" s="7"/>
      <c r="Q319" s="7"/>
      <c r="W319" s="7"/>
    </row>
    <row r="320">
      <c r="H320" s="7"/>
      <c r="Q320" s="7"/>
      <c r="W320" s="7"/>
    </row>
    <row r="321">
      <c r="H321" s="7"/>
      <c r="Q321" s="7"/>
      <c r="W321" s="7"/>
    </row>
    <row r="322">
      <c r="H322" s="7"/>
      <c r="Q322" s="7"/>
      <c r="W322" s="7"/>
    </row>
    <row r="323">
      <c r="H323" s="7"/>
      <c r="Q323" s="7"/>
      <c r="W323" s="7"/>
    </row>
    <row r="324">
      <c r="H324" s="7"/>
      <c r="Q324" s="7"/>
      <c r="W324" s="7"/>
    </row>
    <row r="325">
      <c r="H325" s="7"/>
      <c r="Q325" s="7"/>
      <c r="W325" s="7"/>
    </row>
    <row r="326">
      <c r="H326" s="7"/>
      <c r="Q326" s="7"/>
      <c r="W326" s="7"/>
    </row>
    <row r="327">
      <c r="H327" s="7"/>
      <c r="Q327" s="7"/>
      <c r="W327" s="7"/>
    </row>
    <row r="328">
      <c r="H328" s="7"/>
      <c r="Q328" s="7"/>
      <c r="W328" s="7"/>
    </row>
    <row r="329">
      <c r="H329" s="7"/>
      <c r="Q329" s="7"/>
      <c r="W329" s="7"/>
    </row>
    <row r="330">
      <c r="H330" s="7"/>
      <c r="Q330" s="7"/>
      <c r="W330" s="7"/>
    </row>
    <row r="331">
      <c r="H331" s="7"/>
      <c r="Q331" s="7"/>
      <c r="W331" s="7"/>
    </row>
    <row r="332">
      <c r="H332" s="7"/>
      <c r="Q332" s="7"/>
      <c r="W332" s="7"/>
    </row>
    <row r="333">
      <c r="H333" s="7"/>
      <c r="Q333" s="7"/>
      <c r="W333" s="7"/>
    </row>
    <row r="334">
      <c r="H334" s="7"/>
      <c r="Q334" s="7"/>
      <c r="W334" s="7"/>
    </row>
    <row r="335">
      <c r="H335" s="7"/>
      <c r="Q335" s="7"/>
      <c r="W335" s="7"/>
    </row>
    <row r="336">
      <c r="H336" s="7"/>
      <c r="Q336" s="7"/>
      <c r="W336" s="7"/>
    </row>
    <row r="337">
      <c r="H337" s="7"/>
      <c r="Q337" s="7"/>
      <c r="W337" s="7"/>
    </row>
    <row r="338">
      <c r="H338" s="7"/>
      <c r="Q338" s="7"/>
      <c r="W338" s="7"/>
    </row>
    <row r="339">
      <c r="H339" s="7"/>
      <c r="Q339" s="7"/>
      <c r="W339" s="7"/>
    </row>
    <row r="340">
      <c r="H340" s="7"/>
      <c r="Q340" s="7"/>
      <c r="W340" s="7"/>
    </row>
    <row r="341">
      <c r="H341" s="7"/>
      <c r="Q341" s="7"/>
      <c r="W341" s="7"/>
    </row>
    <row r="342">
      <c r="H342" s="7"/>
      <c r="Q342" s="7"/>
      <c r="W342" s="7"/>
    </row>
    <row r="343">
      <c r="H343" s="7"/>
      <c r="Q343" s="7"/>
      <c r="W343" s="7"/>
    </row>
    <row r="344">
      <c r="H344" s="7"/>
      <c r="Q344" s="7"/>
      <c r="W344" s="7"/>
    </row>
    <row r="345">
      <c r="H345" s="7"/>
      <c r="Q345" s="7"/>
      <c r="W345" s="7"/>
    </row>
    <row r="346">
      <c r="H346" s="7"/>
      <c r="Q346" s="7"/>
      <c r="W346" s="7"/>
    </row>
    <row r="347">
      <c r="H347" s="7"/>
      <c r="Q347" s="7"/>
      <c r="W347" s="7"/>
    </row>
    <row r="348">
      <c r="H348" s="7"/>
      <c r="Q348" s="7"/>
      <c r="W348" s="7"/>
    </row>
    <row r="349">
      <c r="H349" s="7"/>
      <c r="Q349" s="7"/>
      <c r="W349" s="7"/>
    </row>
    <row r="350">
      <c r="H350" s="7"/>
      <c r="Q350" s="7"/>
      <c r="W350" s="7"/>
    </row>
    <row r="351">
      <c r="H351" s="7"/>
      <c r="Q351" s="7"/>
      <c r="W351" s="7"/>
    </row>
    <row r="352">
      <c r="H352" s="7"/>
      <c r="Q352" s="7"/>
      <c r="W352" s="7"/>
    </row>
    <row r="353">
      <c r="H353" s="7"/>
      <c r="Q353" s="7"/>
      <c r="W353" s="7"/>
    </row>
    <row r="354">
      <c r="H354" s="7"/>
      <c r="Q354" s="7"/>
      <c r="W354" s="7"/>
    </row>
    <row r="355">
      <c r="H355" s="7"/>
      <c r="Q355" s="7"/>
      <c r="W355" s="7"/>
    </row>
    <row r="356">
      <c r="H356" s="7"/>
      <c r="Q356" s="7"/>
      <c r="W356" s="7"/>
    </row>
    <row r="357">
      <c r="H357" s="7"/>
      <c r="Q357" s="7"/>
      <c r="W357" s="7"/>
    </row>
    <row r="358">
      <c r="H358" s="7"/>
      <c r="Q358" s="7"/>
      <c r="W358" s="7"/>
    </row>
    <row r="359">
      <c r="H359" s="7"/>
      <c r="Q359" s="7"/>
      <c r="W359" s="7"/>
    </row>
    <row r="360">
      <c r="H360" s="7"/>
      <c r="Q360" s="7"/>
      <c r="W360" s="7"/>
    </row>
    <row r="361">
      <c r="H361" s="7"/>
      <c r="Q361" s="7"/>
      <c r="W361" s="7"/>
    </row>
    <row r="362">
      <c r="H362" s="7"/>
      <c r="Q362" s="7"/>
      <c r="W362" s="7"/>
    </row>
    <row r="363">
      <c r="H363" s="7"/>
      <c r="Q363" s="7"/>
      <c r="W363" s="7"/>
    </row>
    <row r="364">
      <c r="H364" s="7"/>
      <c r="Q364" s="7"/>
      <c r="W364" s="7"/>
    </row>
    <row r="365">
      <c r="H365" s="7"/>
      <c r="Q365" s="7"/>
      <c r="W365" s="7"/>
    </row>
    <row r="366">
      <c r="H366" s="7"/>
      <c r="Q366" s="7"/>
      <c r="W366" s="7"/>
    </row>
    <row r="367">
      <c r="H367" s="7"/>
      <c r="Q367" s="7"/>
      <c r="W367" s="7"/>
    </row>
    <row r="368">
      <c r="H368" s="7"/>
      <c r="Q368" s="7"/>
      <c r="W368" s="7"/>
    </row>
    <row r="369">
      <c r="H369" s="7"/>
      <c r="Q369" s="7"/>
      <c r="W369" s="7"/>
    </row>
    <row r="370">
      <c r="H370" s="7"/>
      <c r="Q370" s="7"/>
      <c r="W370" s="7"/>
    </row>
    <row r="371">
      <c r="H371" s="7"/>
      <c r="Q371" s="7"/>
      <c r="W371" s="7"/>
    </row>
    <row r="372">
      <c r="H372" s="7"/>
      <c r="Q372" s="7"/>
      <c r="W372" s="7"/>
    </row>
    <row r="373">
      <c r="H373" s="7"/>
      <c r="Q373" s="7"/>
      <c r="W373" s="7"/>
    </row>
    <row r="374">
      <c r="H374" s="7"/>
      <c r="Q374" s="7"/>
      <c r="W374" s="7"/>
    </row>
    <row r="375">
      <c r="H375" s="7"/>
      <c r="Q375" s="7"/>
      <c r="W375" s="7"/>
    </row>
    <row r="376">
      <c r="H376" s="7"/>
      <c r="Q376" s="7"/>
      <c r="W376" s="7"/>
    </row>
    <row r="377">
      <c r="H377" s="7"/>
      <c r="Q377" s="7"/>
      <c r="W377" s="7"/>
    </row>
    <row r="378">
      <c r="H378" s="7"/>
      <c r="Q378" s="7"/>
      <c r="W378" s="7"/>
    </row>
    <row r="379">
      <c r="H379" s="7"/>
      <c r="Q379" s="7"/>
      <c r="W379" s="7"/>
    </row>
    <row r="380">
      <c r="H380" s="7"/>
      <c r="Q380" s="7"/>
      <c r="W380" s="7"/>
    </row>
    <row r="381">
      <c r="H381" s="7"/>
      <c r="Q381" s="7"/>
      <c r="W381" s="7"/>
    </row>
    <row r="382">
      <c r="H382" s="7"/>
      <c r="Q382" s="7"/>
      <c r="W382" s="7"/>
    </row>
    <row r="383">
      <c r="H383" s="7"/>
      <c r="Q383" s="7"/>
      <c r="W383" s="7"/>
    </row>
    <row r="384">
      <c r="H384" s="7"/>
      <c r="Q384" s="7"/>
      <c r="W384" s="7"/>
    </row>
    <row r="385">
      <c r="H385" s="7"/>
      <c r="Q385" s="7"/>
      <c r="W385" s="7"/>
    </row>
    <row r="386">
      <c r="H386" s="7"/>
      <c r="Q386" s="7"/>
      <c r="W386" s="7"/>
    </row>
    <row r="387">
      <c r="H387" s="7"/>
      <c r="Q387" s="7"/>
      <c r="W387" s="7"/>
    </row>
    <row r="388">
      <c r="H388" s="7"/>
      <c r="Q388" s="7"/>
      <c r="W388" s="7"/>
    </row>
    <row r="389">
      <c r="H389" s="7"/>
      <c r="Q389" s="7"/>
      <c r="W389" s="7"/>
    </row>
    <row r="390">
      <c r="H390" s="7"/>
      <c r="Q390" s="7"/>
      <c r="W390" s="7"/>
    </row>
    <row r="391">
      <c r="H391" s="7"/>
      <c r="Q391" s="7"/>
      <c r="W391" s="7"/>
    </row>
    <row r="392">
      <c r="H392" s="7"/>
      <c r="Q392" s="7"/>
      <c r="W392" s="7"/>
    </row>
    <row r="393">
      <c r="H393" s="7"/>
      <c r="Q393" s="7"/>
      <c r="W393" s="7"/>
    </row>
    <row r="394">
      <c r="H394" s="7"/>
      <c r="Q394" s="7"/>
      <c r="W394" s="7"/>
    </row>
    <row r="395">
      <c r="H395" s="7"/>
      <c r="Q395" s="7"/>
      <c r="W395" s="7"/>
    </row>
    <row r="396">
      <c r="H396" s="7"/>
      <c r="Q396" s="7"/>
      <c r="W396" s="7"/>
    </row>
    <row r="397">
      <c r="H397" s="7"/>
      <c r="Q397" s="7"/>
      <c r="W397" s="7"/>
    </row>
    <row r="398">
      <c r="H398" s="7"/>
      <c r="Q398" s="7"/>
      <c r="W398" s="7"/>
    </row>
    <row r="399">
      <c r="H399" s="7"/>
      <c r="Q399" s="7"/>
      <c r="W399" s="7"/>
    </row>
    <row r="400">
      <c r="H400" s="7"/>
      <c r="Q400" s="7"/>
      <c r="W400" s="7"/>
    </row>
    <row r="401">
      <c r="H401" s="7"/>
      <c r="Q401" s="7"/>
      <c r="W401" s="7"/>
    </row>
    <row r="402">
      <c r="H402" s="7"/>
      <c r="Q402" s="7"/>
      <c r="W402" s="7"/>
    </row>
    <row r="403">
      <c r="H403" s="7"/>
      <c r="Q403" s="7"/>
      <c r="W403" s="7"/>
    </row>
    <row r="404">
      <c r="H404" s="7"/>
      <c r="Q404" s="7"/>
      <c r="W404" s="7"/>
    </row>
    <row r="405">
      <c r="H405" s="7"/>
      <c r="Q405" s="7"/>
      <c r="W405" s="7"/>
    </row>
    <row r="406">
      <c r="H406" s="7"/>
      <c r="Q406" s="7"/>
      <c r="W406" s="7"/>
    </row>
    <row r="407">
      <c r="H407" s="7"/>
      <c r="Q407" s="7"/>
      <c r="W407" s="7"/>
    </row>
    <row r="408">
      <c r="H408" s="7"/>
      <c r="Q408" s="7"/>
      <c r="W408" s="7"/>
    </row>
    <row r="409">
      <c r="H409" s="7"/>
      <c r="Q409" s="7"/>
      <c r="W409" s="7"/>
    </row>
    <row r="410">
      <c r="H410" s="7"/>
      <c r="Q410" s="7"/>
      <c r="W410" s="7"/>
    </row>
    <row r="411">
      <c r="H411" s="7"/>
      <c r="Q411" s="7"/>
      <c r="W411" s="7"/>
    </row>
    <row r="412">
      <c r="H412" s="7"/>
      <c r="Q412" s="7"/>
      <c r="W412" s="7"/>
    </row>
    <row r="413">
      <c r="H413" s="7"/>
      <c r="Q413" s="7"/>
      <c r="W413" s="7"/>
    </row>
    <row r="414">
      <c r="H414" s="7"/>
      <c r="Q414" s="7"/>
      <c r="W414" s="7"/>
    </row>
    <row r="415">
      <c r="H415" s="7"/>
      <c r="Q415" s="7"/>
      <c r="W415" s="7"/>
    </row>
    <row r="416">
      <c r="H416" s="7"/>
      <c r="Q416" s="7"/>
      <c r="W416" s="7"/>
    </row>
    <row r="417">
      <c r="H417" s="7"/>
      <c r="Q417" s="7"/>
      <c r="W417" s="7"/>
    </row>
    <row r="418">
      <c r="H418" s="7"/>
      <c r="Q418" s="7"/>
      <c r="W418" s="7"/>
    </row>
    <row r="419">
      <c r="H419" s="7"/>
      <c r="Q419" s="7"/>
      <c r="W419" s="7"/>
    </row>
    <row r="420">
      <c r="H420" s="7"/>
      <c r="Q420" s="7"/>
      <c r="W420" s="7"/>
    </row>
    <row r="421">
      <c r="H421" s="7"/>
      <c r="Q421" s="7"/>
      <c r="W421" s="7"/>
    </row>
    <row r="422">
      <c r="H422" s="7"/>
      <c r="Q422" s="7"/>
      <c r="W422" s="7"/>
    </row>
    <row r="423">
      <c r="H423" s="7"/>
      <c r="Q423" s="7"/>
      <c r="W423" s="7"/>
    </row>
    <row r="424">
      <c r="H424" s="7"/>
      <c r="Q424" s="7"/>
      <c r="W424" s="7"/>
    </row>
    <row r="425">
      <c r="H425" s="7"/>
      <c r="Q425" s="7"/>
      <c r="W425" s="7"/>
    </row>
    <row r="426">
      <c r="H426" s="7"/>
      <c r="Q426" s="7"/>
      <c r="W426" s="7"/>
    </row>
    <row r="427">
      <c r="H427" s="7"/>
      <c r="Q427" s="7"/>
      <c r="W427" s="7"/>
    </row>
    <row r="428">
      <c r="H428" s="7"/>
      <c r="Q428" s="7"/>
      <c r="W428" s="7"/>
    </row>
    <row r="429">
      <c r="H429" s="7"/>
      <c r="Q429" s="7"/>
      <c r="W429" s="7"/>
    </row>
    <row r="430">
      <c r="H430" s="7"/>
      <c r="Q430" s="7"/>
      <c r="W430" s="7"/>
    </row>
    <row r="431">
      <c r="H431" s="7"/>
      <c r="Q431" s="7"/>
      <c r="W431" s="7"/>
    </row>
    <row r="432">
      <c r="H432" s="7"/>
      <c r="Q432" s="7"/>
      <c r="W432" s="7"/>
    </row>
    <row r="433">
      <c r="H433" s="7"/>
      <c r="Q433" s="7"/>
      <c r="W433" s="7"/>
    </row>
    <row r="434">
      <c r="H434" s="7"/>
      <c r="Q434" s="7"/>
      <c r="W434" s="7"/>
    </row>
    <row r="435">
      <c r="H435" s="7"/>
      <c r="Q435" s="7"/>
      <c r="W435" s="7"/>
    </row>
    <row r="436">
      <c r="H436" s="7"/>
      <c r="Q436" s="7"/>
      <c r="W436" s="7"/>
    </row>
    <row r="437">
      <c r="H437" s="7"/>
      <c r="Q437" s="7"/>
      <c r="W437" s="7"/>
    </row>
    <row r="438">
      <c r="H438" s="7"/>
      <c r="Q438" s="7"/>
      <c r="W438" s="7"/>
    </row>
    <row r="439">
      <c r="H439" s="7"/>
      <c r="Q439" s="7"/>
      <c r="W439" s="7"/>
    </row>
    <row r="440">
      <c r="H440" s="7"/>
      <c r="Q440" s="7"/>
      <c r="W440" s="7"/>
    </row>
    <row r="441">
      <c r="H441" s="7"/>
      <c r="Q441" s="7"/>
      <c r="W441" s="7"/>
    </row>
    <row r="442">
      <c r="H442" s="7"/>
      <c r="Q442" s="7"/>
      <c r="W442" s="7"/>
    </row>
    <row r="443">
      <c r="H443" s="7"/>
      <c r="Q443" s="7"/>
      <c r="W443" s="7"/>
    </row>
    <row r="444">
      <c r="H444" s="7"/>
      <c r="Q444" s="7"/>
      <c r="W444" s="7"/>
    </row>
    <row r="445">
      <c r="H445" s="7"/>
      <c r="Q445" s="7"/>
      <c r="W445" s="7"/>
    </row>
    <row r="446">
      <c r="H446" s="7"/>
      <c r="Q446" s="7"/>
      <c r="W446" s="7"/>
    </row>
    <row r="447">
      <c r="H447" s="7"/>
      <c r="Q447" s="7"/>
      <c r="W447" s="7"/>
    </row>
    <row r="448">
      <c r="H448" s="7"/>
      <c r="Q448" s="7"/>
      <c r="W448" s="7"/>
    </row>
    <row r="449">
      <c r="H449" s="7"/>
      <c r="Q449" s="7"/>
      <c r="W449" s="7"/>
    </row>
    <row r="450">
      <c r="H450" s="7"/>
      <c r="Q450" s="7"/>
      <c r="W450" s="7"/>
    </row>
    <row r="451">
      <c r="H451" s="7"/>
      <c r="Q451" s="7"/>
      <c r="W451" s="7"/>
    </row>
    <row r="452">
      <c r="H452" s="7"/>
      <c r="Q452" s="7"/>
      <c r="W452" s="7"/>
    </row>
    <row r="453">
      <c r="H453" s="7"/>
      <c r="Q453" s="7"/>
      <c r="W453" s="7"/>
    </row>
    <row r="454">
      <c r="H454" s="7"/>
      <c r="Q454" s="7"/>
      <c r="W454" s="7"/>
    </row>
    <row r="455">
      <c r="H455" s="7"/>
      <c r="Q455" s="7"/>
      <c r="W455" s="7"/>
    </row>
    <row r="456">
      <c r="H456" s="7"/>
      <c r="Q456" s="7"/>
      <c r="W456" s="7"/>
    </row>
    <row r="457">
      <c r="H457" s="7"/>
      <c r="Q457" s="7"/>
      <c r="W457" s="7"/>
    </row>
    <row r="458">
      <c r="H458" s="7"/>
      <c r="Q458" s="7"/>
      <c r="W458" s="7"/>
    </row>
    <row r="459">
      <c r="H459" s="7"/>
      <c r="Q459" s="7"/>
      <c r="W459" s="7"/>
    </row>
    <row r="460">
      <c r="H460" s="7"/>
      <c r="Q460" s="7"/>
      <c r="W460" s="7"/>
    </row>
    <row r="461">
      <c r="H461" s="7"/>
      <c r="Q461" s="7"/>
      <c r="W461" s="7"/>
    </row>
    <row r="462">
      <c r="H462" s="7"/>
      <c r="Q462" s="7"/>
      <c r="W462" s="7"/>
    </row>
    <row r="463">
      <c r="H463" s="7"/>
      <c r="Q463" s="7"/>
      <c r="W463" s="7"/>
    </row>
    <row r="464">
      <c r="H464" s="7"/>
      <c r="Q464" s="7"/>
      <c r="W464" s="7"/>
    </row>
    <row r="465">
      <c r="H465" s="7"/>
      <c r="Q465" s="7"/>
      <c r="W465" s="7"/>
    </row>
    <row r="466">
      <c r="H466" s="7"/>
      <c r="Q466" s="7"/>
      <c r="W466" s="7"/>
    </row>
    <row r="467">
      <c r="H467" s="7"/>
      <c r="Q467" s="7"/>
      <c r="W467" s="7"/>
    </row>
    <row r="468">
      <c r="H468" s="7"/>
      <c r="Q468" s="7"/>
      <c r="W468" s="7"/>
    </row>
    <row r="469">
      <c r="H469" s="7"/>
      <c r="Q469" s="7"/>
      <c r="W469" s="7"/>
    </row>
    <row r="470">
      <c r="H470" s="7"/>
      <c r="Q470" s="7"/>
      <c r="W470" s="7"/>
    </row>
    <row r="471">
      <c r="H471" s="7"/>
      <c r="Q471" s="7"/>
      <c r="W471" s="7"/>
    </row>
    <row r="472">
      <c r="H472" s="7"/>
      <c r="Q472" s="7"/>
      <c r="W472" s="7"/>
    </row>
    <row r="473">
      <c r="H473" s="7"/>
      <c r="Q473" s="7"/>
      <c r="W473" s="7"/>
    </row>
    <row r="474">
      <c r="H474" s="7"/>
      <c r="Q474" s="7"/>
      <c r="W474" s="7"/>
    </row>
    <row r="475">
      <c r="H475" s="7"/>
      <c r="Q475" s="7"/>
      <c r="W475" s="7"/>
    </row>
    <row r="476">
      <c r="H476" s="7"/>
      <c r="Q476" s="7"/>
      <c r="W476" s="7"/>
    </row>
    <row r="477">
      <c r="H477" s="7"/>
      <c r="Q477" s="7"/>
      <c r="W477" s="7"/>
    </row>
    <row r="478">
      <c r="H478" s="7"/>
      <c r="Q478" s="7"/>
      <c r="W478" s="7"/>
    </row>
    <row r="479">
      <c r="H479" s="7"/>
      <c r="Q479" s="7"/>
      <c r="W479" s="7"/>
    </row>
    <row r="480">
      <c r="H480" s="7"/>
      <c r="Q480" s="7"/>
      <c r="W480" s="7"/>
    </row>
    <row r="481">
      <c r="H481" s="7"/>
      <c r="Q481" s="7"/>
      <c r="W481" s="7"/>
    </row>
    <row r="482">
      <c r="H482" s="7"/>
      <c r="Q482" s="7"/>
      <c r="W482" s="7"/>
    </row>
    <row r="483">
      <c r="H483" s="7"/>
      <c r="Q483" s="7"/>
      <c r="W483" s="7"/>
    </row>
    <row r="484">
      <c r="H484" s="7"/>
      <c r="Q484" s="7"/>
      <c r="W484" s="7"/>
    </row>
    <row r="485">
      <c r="H485" s="7"/>
      <c r="Q485" s="7"/>
      <c r="W485" s="7"/>
    </row>
    <row r="486">
      <c r="H486" s="7"/>
      <c r="Q486" s="7"/>
      <c r="W486" s="7"/>
    </row>
    <row r="487">
      <c r="H487" s="7"/>
      <c r="Q487" s="7"/>
      <c r="W487" s="7"/>
    </row>
    <row r="488">
      <c r="H488" s="7"/>
      <c r="Q488" s="7"/>
      <c r="W488" s="7"/>
    </row>
    <row r="489">
      <c r="H489" s="7"/>
      <c r="Q489" s="7"/>
      <c r="W489" s="7"/>
    </row>
    <row r="490">
      <c r="H490" s="7"/>
      <c r="Q490" s="7"/>
      <c r="W490" s="7"/>
    </row>
    <row r="491">
      <c r="H491" s="7"/>
      <c r="Q491" s="7"/>
      <c r="W491" s="7"/>
    </row>
    <row r="492">
      <c r="H492" s="7"/>
      <c r="Q492" s="7"/>
      <c r="W492" s="7"/>
    </row>
    <row r="493">
      <c r="H493" s="7"/>
      <c r="Q493" s="7"/>
      <c r="W493" s="7"/>
    </row>
    <row r="494">
      <c r="H494" s="7"/>
      <c r="Q494" s="7"/>
      <c r="W494" s="7"/>
    </row>
    <row r="495">
      <c r="H495" s="7"/>
      <c r="Q495" s="7"/>
      <c r="W495" s="7"/>
    </row>
    <row r="496">
      <c r="H496" s="7"/>
      <c r="Q496" s="7"/>
      <c r="W496" s="7"/>
    </row>
    <row r="497">
      <c r="H497" s="7"/>
      <c r="Q497" s="7"/>
      <c r="W497" s="7"/>
    </row>
    <row r="498">
      <c r="H498" s="7"/>
      <c r="Q498" s="7"/>
      <c r="W498" s="7"/>
    </row>
    <row r="499">
      <c r="H499" s="7"/>
      <c r="Q499" s="7"/>
      <c r="W499" s="7"/>
    </row>
    <row r="500">
      <c r="H500" s="7"/>
      <c r="Q500" s="7"/>
      <c r="W500" s="7"/>
    </row>
    <row r="501">
      <c r="H501" s="7"/>
      <c r="Q501" s="7"/>
      <c r="W501" s="7"/>
    </row>
    <row r="502">
      <c r="H502" s="7"/>
      <c r="Q502" s="7"/>
      <c r="W502" s="7"/>
    </row>
    <row r="503">
      <c r="H503" s="7"/>
      <c r="Q503" s="7"/>
      <c r="W503" s="7"/>
    </row>
    <row r="504">
      <c r="H504" s="7"/>
      <c r="Q504" s="7"/>
      <c r="W504" s="7"/>
    </row>
    <row r="505">
      <c r="H505" s="7"/>
      <c r="Q505" s="7"/>
      <c r="W505" s="7"/>
    </row>
    <row r="506">
      <c r="H506" s="7"/>
      <c r="Q506" s="7"/>
      <c r="W506" s="7"/>
    </row>
    <row r="507">
      <c r="H507" s="7"/>
      <c r="Q507" s="7"/>
      <c r="W507" s="7"/>
    </row>
    <row r="508">
      <c r="H508" s="7"/>
      <c r="Q508" s="7"/>
      <c r="W508" s="7"/>
    </row>
    <row r="509">
      <c r="H509" s="7"/>
      <c r="Q509" s="7"/>
      <c r="W509" s="7"/>
    </row>
    <row r="510">
      <c r="H510" s="7"/>
      <c r="Q510" s="7"/>
      <c r="W510" s="7"/>
    </row>
    <row r="511">
      <c r="H511" s="7"/>
      <c r="Q511" s="7"/>
      <c r="W511" s="7"/>
    </row>
    <row r="512">
      <c r="H512" s="7"/>
      <c r="Q512" s="7"/>
      <c r="W512" s="7"/>
    </row>
    <row r="513">
      <c r="H513" s="7"/>
      <c r="Q513" s="7"/>
      <c r="W513" s="7"/>
    </row>
    <row r="514">
      <c r="H514" s="7"/>
      <c r="Q514" s="7"/>
      <c r="W514" s="7"/>
    </row>
    <row r="515">
      <c r="H515" s="7"/>
      <c r="Q515" s="7"/>
      <c r="W515" s="7"/>
    </row>
    <row r="516">
      <c r="H516" s="7"/>
      <c r="Q516" s="7"/>
      <c r="W516" s="7"/>
    </row>
    <row r="517">
      <c r="H517" s="7"/>
      <c r="Q517" s="7"/>
      <c r="W517" s="7"/>
    </row>
    <row r="518">
      <c r="H518" s="7"/>
      <c r="Q518" s="7"/>
      <c r="W518" s="7"/>
    </row>
    <row r="519">
      <c r="H519" s="7"/>
      <c r="Q519" s="7"/>
      <c r="W519" s="7"/>
    </row>
    <row r="520">
      <c r="H520" s="7"/>
      <c r="Q520" s="7"/>
      <c r="W520" s="7"/>
    </row>
    <row r="521">
      <c r="H521" s="7"/>
      <c r="Q521" s="7"/>
      <c r="W521" s="7"/>
    </row>
    <row r="522">
      <c r="H522" s="7"/>
      <c r="Q522" s="7"/>
      <c r="W522" s="7"/>
    </row>
    <row r="523">
      <c r="H523" s="7"/>
      <c r="Q523" s="7"/>
      <c r="W523" s="7"/>
    </row>
    <row r="524">
      <c r="H524" s="7"/>
      <c r="Q524" s="7"/>
      <c r="W524" s="7"/>
    </row>
    <row r="525">
      <c r="H525" s="7"/>
      <c r="Q525" s="7"/>
      <c r="W525" s="7"/>
    </row>
    <row r="526">
      <c r="H526" s="7"/>
      <c r="Q526" s="7"/>
      <c r="W526" s="7"/>
    </row>
    <row r="527">
      <c r="H527" s="7"/>
      <c r="Q527" s="7"/>
      <c r="W527" s="7"/>
    </row>
    <row r="528">
      <c r="H528" s="7"/>
      <c r="Q528" s="7"/>
      <c r="W528" s="7"/>
    </row>
    <row r="529">
      <c r="H529" s="7"/>
      <c r="Q529" s="7"/>
      <c r="W529" s="7"/>
    </row>
    <row r="530">
      <c r="H530" s="7"/>
      <c r="Q530" s="7"/>
      <c r="W530" s="7"/>
    </row>
    <row r="531">
      <c r="H531" s="7"/>
      <c r="Q531" s="7"/>
      <c r="W531" s="7"/>
    </row>
    <row r="532">
      <c r="H532" s="7"/>
      <c r="Q532" s="7"/>
      <c r="W532" s="7"/>
    </row>
    <row r="533">
      <c r="H533" s="7"/>
      <c r="Q533" s="7"/>
      <c r="W533" s="7"/>
    </row>
    <row r="534">
      <c r="H534" s="7"/>
      <c r="Q534" s="7"/>
      <c r="W534" s="7"/>
    </row>
    <row r="535">
      <c r="H535" s="7"/>
      <c r="Q535" s="7"/>
      <c r="W535" s="7"/>
    </row>
    <row r="536">
      <c r="H536" s="7"/>
      <c r="Q536" s="7"/>
      <c r="W536" s="7"/>
    </row>
    <row r="537">
      <c r="H537" s="7"/>
      <c r="Q537" s="7"/>
      <c r="W537" s="7"/>
    </row>
    <row r="538">
      <c r="H538" s="7"/>
      <c r="Q538" s="7"/>
      <c r="W538" s="7"/>
    </row>
    <row r="539">
      <c r="H539" s="7"/>
      <c r="Q539" s="7"/>
      <c r="W539" s="7"/>
    </row>
    <row r="540">
      <c r="H540" s="7"/>
      <c r="Q540" s="7"/>
      <c r="W540" s="7"/>
    </row>
    <row r="541">
      <c r="H541" s="7"/>
      <c r="Q541" s="7"/>
      <c r="W541" s="7"/>
    </row>
    <row r="542">
      <c r="H542" s="7"/>
      <c r="Q542" s="7"/>
      <c r="W542" s="7"/>
    </row>
    <row r="543">
      <c r="H543" s="7"/>
      <c r="Q543" s="7"/>
      <c r="W543" s="7"/>
    </row>
    <row r="544">
      <c r="H544" s="7"/>
      <c r="Q544" s="7"/>
      <c r="W544" s="7"/>
    </row>
    <row r="545">
      <c r="H545" s="7"/>
      <c r="Q545" s="7"/>
      <c r="W545" s="7"/>
    </row>
    <row r="546">
      <c r="H546" s="7"/>
      <c r="Q546" s="7"/>
      <c r="W546" s="7"/>
    </row>
    <row r="547">
      <c r="H547" s="7"/>
      <c r="Q547" s="7"/>
      <c r="W547" s="7"/>
    </row>
    <row r="548">
      <c r="H548" s="7"/>
      <c r="Q548" s="7"/>
      <c r="W548" s="7"/>
    </row>
    <row r="549">
      <c r="H549" s="7"/>
      <c r="Q549" s="7"/>
      <c r="W549" s="7"/>
    </row>
    <row r="550">
      <c r="H550" s="7"/>
      <c r="Q550" s="7"/>
      <c r="W550" s="7"/>
    </row>
    <row r="551">
      <c r="H551" s="7"/>
      <c r="Q551" s="7"/>
      <c r="W551" s="7"/>
    </row>
    <row r="552">
      <c r="H552" s="7"/>
      <c r="Q552" s="7"/>
      <c r="W552" s="7"/>
    </row>
    <row r="553">
      <c r="H553" s="7"/>
      <c r="Q553" s="7"/>
      <c r="W553" s="7"/>
    </row>
    <row r="554">
      <c r="H554" s="7"/>
      <c r="Q554" s="7"/>
      <c r="W554" s="7"/>
    </row>
    <row r="555">
      <c r="H555" s="7"/>
      <c r="Q555" s="7"/>
      <c r="W555" s="7"/>
    </row>
    <row r="556">
      <c r="H556" s="7"/>
      <c r="Q556" s="7"/>
      <c r="W556" s="7"/>
    </row>
    <row r="557">
      <c r="H557" s="7"/>
      <c r="Q557" s="7"/>
      <c r="W557" s="7"/>
    </row>
    <row r="558">
      <c r="H558" s="7"/>
      <c r="Q558" s="7"/>
      <c r="W558" s="7"/>
    </row>
    <row r="559">
      <c r="H559" s="7"/>
      <c r="Q559" s="7"/>
      <c r="W559" s="7"/>
    </row>
    <row r="560">
      <c r="H560" s="7"/>
      <c r="Q560" s="7"/>
      <c r="W560" s="7"/>
    </row>
    <row r="561">
      <c r="H561" s="7"/>
      <c r="Q561" s="7"/>
      <c r="W561" s="7"/>
    </row>
    <row r="562">
      <c r="H562" s="7"/>
      <c r="Q562" s="7"/>
      <c r="W562" s="7"/>
    </row>
    <row r="563">
      <c r="H563" s="7"/>
      <c r="Q563" s="7"/>
      <c r="W563" s="7"/>
    </row>
    <row r="564">
      <c r="H564" s="7"/>
      <c r="Q564" s="7"/>
      <c r="W564" s="7"/>
    </row>
    <row r="565">
      <c r="H565" s="7"/>
      <c r="Q565" s="7"/>
      <c r="W565" s="7"/>
    </row>
    <row r="566">
      <c r="H566" s="7"/>
      <c r="Q566" s="7"/>
      <c r="W566" s="7"/>
    </row>
    <row r="567">
      <c r="H567" s="7"/>
      <c r="Q567" s="7"/>
      <c r="W567" s="7"/>
    </row>
    <row r="568">
      <c r="H568" s="7"/>
      <c r="Q568" s="7"/>
      <c r="W568" s="7"/>
    </row>
    <row r="569">
      <c r="H569" s="7"/>
      <c r="Q569" s="7"/>
      <c r="W569" s="7"/>
    </row>
    <row r="570">
      <c r="H570" s="7"/>
      <c r="Q570" s="7"/>
      <c r="W570" s="7"/>
    </row>
    <row r="571">
      <c r="H571" s="7"/>
      <c r="Q571" s="7"/>
      <c r="W571" s="7"/>
    </row>
    <row r="572">
      <c r="H572" s="7"/>
      <c r="Q572" s="7"/>
      <c r="W572" s="7"/>
    </row>
    <row r="573">
      <c r="H573" s="7"/>
      <c r="Q573" s="7"/>
      <c r="W573" s="7"/>
    </row>
    <row r="574">
      <c r="H574" s="7"/>
      <c r="Q574" s="7"/>
      <c r="W574" s="7"/>
    </row>
    <row r="575">
      <c r="H575" s="7"/>
      <c r="Q575" s="7"/>
      <c r="W575" s="7"/>
    </row>
    <row r="576">
      <c r="H576" s="7"/>
      <c r="Q576" s="7"/>
      <c r="W576" s="7"/>
    </row>
    <row r="577">
      <c r="H577" s="7"/>
      <c r="Q577" s="7"/>
      <c r="W577" s="7"/>
    </row>
    <row r="578">
      <c r="H578" s="7"/>
      <c r="Q578" s="7"/>
      <c r="W578" s="7"/>
    </row>
    <row r="579">
      <c r="H579" s="7"/>
      <c r="Q579" s="7"/>
      <c r="W579" s="7"/>
    </row>
    <row r="580">
      <c r="H580" s="7"/>
      <c r="Q580" s="7"/>
      <c r="W580" s="7"/>
    </row>
    <row r="581">
      <c r="H581" s="7"/>
      <c r="Q581" s="7"/>
      <c r="W581" s="7"/>
    </row>
    <row r="582">
      <c r="H582" s="7"/>
      <c r="Q582" s="7"/>
      <c r="W582" s="7"/>
    </row>
    <row r="583">
      <c r="H583" s="7"/>
      <c r="Q583" s="7"/>
      <c r="W583" s="7"/>
    </row>
    <row r="584">
      <c r="H584" s="7"/>
      <c r="Q584" s="7"/>
      <c r="W584" s="7"/>
    </row>
    <row r="585">
      <c r="H585" s="7"/>
      <c r="Q585" s="7"/>
      <c r="W585" s="7"/>
    </row>
    <row r="586">
      <c r="H586" s="7"/>
      <c r="Q586" s="7"/>
      <c r="W586" s="7"/>
    </row>
    <row r="587">
      <c r="H587" s="7"/>
      <c r="Q587" s="7"/>
      <c r="W587" s="7"/>
    </row>
    <row r="588">
      <c r="H588" s="7"/>
      <c r="Q588" s="7"/>
      <c r="W588" s="7"/>
    </row>
    <row r="589">
      <c r="H589" s="7"/>
      <c r="Q589" s="7"/>
      <c r="W589" s="7"/>
    </row>
    <row r="590">
      <c r="H590" s="7"/>
      <c r="Q590" s="7"/>
      <c r="W590" s="7"/>
    </row>
    <row r="591">
      <c r="H591" s="7"/>
      <c r="Q591" s="7"/>
      <c r="W591" s="7"/>
    </row>
    <row r="592">
      <c r="H592" s="7"/>
      <c r="Q592" s="7"/>
      <c r="W592" s="7"/>
    </row>
    <row r="593">
      <c r="H593" s="7"/>
      <c r="Q593" s="7"/>
      <c r="W593" s="7"/>
    </row>
    <row r="594">
      <c r="H594" s="7"/>
      <c r="Q594" s="7"/>
      <c r="W594" s="7"/>
    </row>
    <row r="595">
      <c r="H595" s="7"/>
      <c r="Q595" s="7"/>
      <c r="W595" s="7"/>
    </row>
    <row r="596">
      <c r="H596" s="7"/>
      <c r="Q596" s="7"/>
      <c r="W596" s="7"/>
    </row>
    <row r="597">
      <c r="H597" s="7"/>
      <c r="Q597" s="7"/>
      <c r="W597" s="7"/>
    </row>
    <row r="598">
      <c r="H598" s="7"/>
      <c r="Q598" s="7"/>
      <c r="W598" s="7"/>
    </row>
    <row r="599">
      <c r="H599" s="7"/>
      <c r="Q599" s="7"/>
      <c r="W599" s="7"/>
    </row>
    <row r="600">
      <c r="H600" s="7"/>
      <c r="Q600" s="7"/>
      <c r="W600" s="7"/>
    </row>
    <row r="601">
      <c r="H601" s="7"/>
      <c r="Q601" s="7"/>
      <c r="W601" s="7"/>
    </row>
    <row r="602">
      <c r="H602" s="7"/>
      <c r="Q602" s="7"/>
      <c r="W602" s="7"/>
    </row>
    <row r="603">
      <c r="H603" s="7"/>
      <c r="Q603" s="7"/>
      <c r="W603" s="7"/>
    </row>
    <row r="604">
      <c r="H604" s="7"/>
      <c r="Q604" s="7"/>
      <c r="W604" s="7"/>
    </row>
    <row r="605">
      <c r="H605" s="7"/>
      <c r="Q605" s="7"/>
      <c r="W605" s="7"/>
    </row>
    <row r="606">
      <c r="H606" s="7"/>
      <c r="Q606" s="7"/>
      <c r="W606" s="7"/>
    </row>
    <row r="607">
      <c r="H607" s="7"/>
      <c r="Q607" s="7"/>
      <c r="W607" s="7"/>
    </row>
    <row r="608">
      <c r="H608" s="7"/>
      <c r="Q608" s="7"/>
      <c r="W608" s="7"/>
    </row>
    <row r="609">
      <c r="H609" s="7"/>
      <c r="Q609" s="7"/>
      <c r="W609" s="7"/>
    </row>
    <row r="610">
      <c r="H610" s="7"/>
      <c r="Q610" s="7"/>
      <c r="W610" s="7"/>
    </row>
    <row r="611">
      <c r="H611" s="7"/>
      <c r="Q611" s="7"/>
      <c r="W611" s="7"/>
    </row>
    <row r="612">
      <c r="H612" s="7"/>
      <c r="Q612" s="7"/>
      <c r="W612" s="7"/>
    </row>
    <row r="613">
      <c r="H613" s="7"/>
      <c r="Q613" s="7"/>
      <c r="W613" s="7"/>
    </row>
    <row r="614">
      <c r="H614" s="7"/>
      <c r="Q614" s="7"/>
      <c r="W614" s="7"/>
    </row>
    <row r="615">
      <c r="H615" s="7"/>
      <c r="Q615" s="7"/>
      <c r="W615" s="7"/>
    </row>
    <row r="616">
      <c r="H616" s="7"/>
      <c r="Q616" s="7"/>
      <c r="W616" s="7"/>
    </row>
    <row r="617">
      <c r="H617" s="7"/>
      <c r="Q617" s="7"/>
      <c r="W617" s="7"/>
    </row>
    <row r="618">
      <c r="H618" s="7"/>
      <c r="Q618" s="7"/>
      <c r="W618" s="7"/>
    </row>
    <row r="619">
      <c r="H619" s="7"/>
      <c r="Q619" s="7"/>
      <c r="W619" s="7"/>
    </row>
    <row r="620">
      <c r="H620" s="7"/>
      <c r="Q620" s="7"/>
      <c r="W620" s="7"/>
    </row>
    <row r="621">
      <c r="H621" s="7"/>
      <c r="Q621" s="7"/>
      <c r="W621" s="7"/>
    </row>
    <row r="622">
      <c r="H622" s="7"/>
      <c r="Q622" s="7"/>
      <c r="W622" s="7"/>
    </row>
    <row r="623">
      <c r="H623" s="7"/>
      <c r="Q623" s="7"/>
      <c r="W623" s="7"/>
    </row>
    <row r="624">
      <c r="H624" s="7"/>
      <c r="Q624" s="7"/>
      <c r="W624" s="7"/>
    </row>
    <row r="625">
      <c r="H625" s="7"/>
      <c r="Q625" s="7"/>
      <c r="W625" s="7"/>
    </row>
    <row r="626">
      <c r="H626" s="7"/>
      <c r="Q626" s="7"/>
      <c r="W626" s="7"/>
    </row>
    <row r="627">
      <c r="H627" s="7"/>
      <c r="Q627" s="7"/>
      <c r="W627" s="7"/>
    </row>
    <row r="628">
      <c r="H628" s="7"/>
      <c r="Q628" s="7"/>
      <c r="W628" s="7"/>
    </row>
    <row r="629">
      <c r="H629" s="7"/>
      <c r="Q629" s="7"/>
      <c r="W629" s="7"/>
    </row>
    <row r="630">
      <c r="H630" s="7"/>
      <c r="Q630" s="7"/>
      <c r="W630" s="7"/>
    </row>
    <row r="631">
      <c r="H631" s="7"/>
      <c r="Q631" s="7"/>
      <c r="W631" s="7"/>
    </row>
    <row r="632">
      <c r="H632" s="7"/>
      <c r="Q632" s="7"/>
      <c r="W632" s="7"/>
    </row>
    <row r="633">
      <c r="H633" s="7"/>
      <c r="Q633" s="7"/>
      <c r="W633" s="7"/>
    </row>
    <row r="634">
      <c r="H634" s="7"/>
      <c r="Q634" s="7"/>
      <c r="W634" s="7"/>
    </row>
    <row r="635">
      <c r="H635" s="7"/>
      <c r="Q635" s="7"/>
      <c r="W635" s="7"/>
    </row>
    <row r="636">
      <c r="H636" s="7"/>
      <c r="Q636" s="7"/>
      <c r="W636" s="7"/>
    </row>
    <row r="637">
      <c r="H637" s="7"/>
      <c r="Q637" s="7"/>
      <c r="W637" s="7"/>
    </row>
    <row r="638">
      <c r="H638" s="7"/>
      <c r="Q638" s="7"/>
      <c r="W638" s="7"/>
    </row>
    <row r="639">
      <c r="H639" s="7"/>
      <c r="Q639" s="7"/>
      <c r="W639" s="7"/>
    </row>
    <row r="640">
      <c r="H640" s="7"/>
      <c r="Q640" s="7"/>
      <c r="W640" s="7"/>
    </row>
    <row r="641">
      <c r="H641" s="7"/>
      <c r="Q641" s="7"/>
      <c r="W641" s="7"/>
    </row>
    <row r="642">
      <c r="H642" s="7"/>
      <c r="Q642" s="7"/>
      <c r="W642" s="7"/>
    </row>
    <row r="643">
      <c r="H643" s="7"/>
      <c r="Q643" s="7"/>
      <c r="W643" s="7"/>
    </row>
    <row r="644">
      <c r="H644" s="7"/>
      <c r="Q644" s="7"/>
      <c r="W644" s="7"/>
    </row>
    <row r="645">
      <c r="H645" s="7"/>
      <c r="Q645" s="7"/>
      <c r="W645" s="7"/>
    </row>
    <row r="646">
      <c r="H646" s="7"/>
      <c r="Q646" s="7"/>
      <c r="W646" s="7"/>
    </row>
    <row r="647">
      <c r="H647" s="7"/>
      <c r="Q647" s="7"/>
      <c r="W647" s="7"/>
    </row>
    <row r="648">
      <c r="H648" s="7"/>
      <c r="Q648" s="7"/>
      <c r="W648" s="7"/>
    </row>
    <row r="649">
      <c r="H649" s="7"/>
      <c r="Q649" s="7"/>
      <c r="W649" s="7"/>
    </row>
    <row r="650">
      <c r="H650" s="7"/>
      <c r="Q650" s="7"/>
      <c r="W650" s="7"/>
    </row>
    <row r="651">
      <c r="H651" s="7"/>
      <c r="Q651" s="7"/>
      <c r="W651" s="7"/>
    </row>
    <row r="652">
      <c r="H652" s="7"/>
      <c r="Q652" s="7"/>
      <c r="W652" s="7"/>
    </row>
    <row r="653">
      <c r="H653" s="7"/>
      <c r="Q653" s="7"/>
      <c r="W653" s="7"/>
    </row>
    <row r="654">
      <c r="H654" s="7"/>
      <c r="Q654" s="7"/>
      <c r="W654" s="7"/>
    </row>
    <row r="655">
      <c r="H655" s="7"/>
      <c r="Q655" s="7"/>
      <c r="W655" s="7"/>
    </row>
    <row r="656">
      <c r="H656" s="7"/>
      <c r="Q656" s="7"/>
      <c r="W656" s="7"/>
    </row>
    <row r="657">
      <c r="H657" s="7"/>
      <c r="Q657" s="7"/>
      <c r="W657" s="7"/>
    </row>
    <row r="658">
      <c r="H658" s="7"/>
      <c r="Q658" s="7"/>
      <c r="W658" s="7"/>
    </row>
    <row r="659">
      <c r="H659" s="7"/>
      <c r="Q659" s="7"/>
      <c r="W659" s="7"/>
    </row>
    <row r="660">
      <c r="H660" s="7"/>
      <c r="Q660" s="7"/>
      <c r="W660" s="7"/>
    </row>
    <row r="661">
      <c r="H661" s="7"/>
      <c r="Q661" s="7"/>
      <c r="W661" s="7"/>
    </row>
    <row r="662">
      <c r="H662" s="7"/>
      <c r="Q662" s="7"/>
      <c r="W662" s="7"/>
    </row>
    <row r="663">
      <c r="H663" s="7"/>
      <c r="Q663" s="7"/>
      <c r="W663" s="7"/>
    </row>
    <row r="664">
      <c r="H664" s="7"/>
      <c r="Q664" s="7"/>
      <c r="W664" s="7"/>
    </row>
    <row r="665">
      <c r="H665" s="7"/>
      <c r="Q665" s="7"/>
      <c r="W665" s="7"/>
    </row>
    <row r="666">
      <c r="H666" s="7"/>
      <c r="Q666" s="7"/>
      <c r="W666" s="7"/>
    </row>
    <row r="667">
      <c r="H667" s="7"/>
      <c r="Q667" s="7"/>
      <c r="W667" s="7"/>
    </row>
    <row r="668">
      <c r="H668" s="7"/>
      <c r="Q668" s="7"/>
      <c r="W668" s="7"/>
    </row>
    <row r="669">
      <c r="H669" s="7"/>
      <c r="Q669" s="7"/>
      <c r="W669" s="7"/>
    </row>
    <row r="670">
      <c r="H670" s="7"/>
      <c r="Q670" s="7"/>
      <c r="W670" s="7"/>
    </row>
    <row r="671">
      <c r="H671" s="7"/>
      <c r="Q671" s="7"/>
      <c r="W671" s="7"/>
    </row>
    <row r="672">
      <c r="H672" s="7"/>
      <c r="Q672" s="7"/>
      <c r="W672" s="7"/>
    </row>
    <row r="673">
      <c r="H673" s="7"/>
      <c r="Q673" s="7"/>
      <c r="W673" s="7"/>
    </row>
    <row r="674">
      <c r="H674" s="7"/>
      <c r="Q674" s="7"/>
      <c r="W674" s="7"/>
    </row>
    <row r="675">
      <c r="H675" s="7"/>
      <c r="Q675" s="7"/>
      <c r="W675" s="7"/>
    </row>
    <row r="676">
      <c r="H676" s="7"/>
      <c r="Q676" s="7"/>
      <c r="W676" s="7"/>
    </row>
    <row r="677">
      <c r="H677" s="7"/>
      <c r="Q677" s="7"/>
      <c r="W677" s="7"/>
    </row>
    <row r="678">
      <c r="H678" s="7"/>
      <c r="Q678" s="7"/>
      <c r="W678" s="7"/>
    </row>
    <row r="679">
      <c r="H679" s="7"/>
      <c r="Q679" s="7"/>
      <c r="W679" s="7"/>
    </row>
    <row r="680">
      <c r="H680" s="7"/>
      <c r="Q680" s="7"/>
      <c r="W680" s="7"/>
    </row>
    <row r="681">
      <c r="H681" s="7"/>
      <c r="Q681" s="7"/>
      <c r="W681" s="7"/>
    </row>
    <row r="682">
      <c r="H682" s="7"/>
      <c r="Q682" s="7"/>
      <c r="W682" s="7"/>
    </row>
    <row r="683">
      <c r="H683" s="7"/>
      <c r="Q683" s="7"/>
      <c r="W683" s="7"/>
    </row>
    <row r="684">
      <c r="H684" s="7"/>
      <c r="Q684" s="7"/>
      <c r="W684" s="7"/>
    </row>
    <row r="685">
      <c r="H685" s="7"/>
      <c r="Q685" s="7"/>
      <c r="W685" s="7"/>
    </row>
    <row r="686">
      <c r="H686" s="7"/>
      <c r="Q686" s="7"/>
      <c r="W686" s="7"/>
    </row>
    <row r="687">
      <c r="H687" s="7"/>
      <c r="Q687" s="7"/>
      <c r="W687" s="7"/>
    </row>
    <row r="688">
      <c r="H688" s="7"/>
      <c r="Q688" s="7"/>
      <c r="W688" s="7"/>
    </row>
    <row r="689">
      <c r="H689" s="7"/>
      <c r="Q689" s="7"/>
      <c r="W689" s="7"/>
    </row>
    <row r="690">
      <c r="H690" s="7"/>
      <c r="Q690" s="7"/>
      <c r="W690" s="7"/>
    </row>
    <row r="691">
      <c r="H691" s="7"/>
      <c r="Q691" s="7"/>
      <c r="W691" s="7"/>
    </row>
    <row r="692">
      <c r="H692" s="7"/>
      <c r="Q692" s="7"/>
      <c r="W692" s="7"/>
    </row>
    <row r="693">
      <c r="H693" s="7"/>
      <c r="Q693" s="7"/>
      <c r="W693" s="7"/>
    </row>
    <row r="694">
      <c r="H694" s="7"/>
      <c r="Q694" s="7"/>
      <c r="W694" s="7"/>
    </row>
    <row r="695">
      <c r="H695" s="7"/>
      <c r="Q695" s="7"/>
      <c r="W695" s="7"/>
    </row>
    <row r="696">
      <c r="H696" s="7"/>
      <c r="Q696" s="7"/>
      <c r="W696" s="7"/>
    </row>
    <row r="697">
      <c r="H697" s="7"/>
      <c r="Q697" s="7"/>
      <c r="W697" s="7"/>
    </row>
    <row r="698">
      <c r="H698" s="7"/>
      <c r="Q698" s="7"/>
      <c r="W698" s="7"/>
    </row>
    <row r="699">
      <c r="H699" s="7"/>
      <c r="Q699" s="7"/>
      <c r="W699" s="7"/>
    </row>
    <row r="700">
      <c r="H700" s="7"/>
      <c r="Q700" s="7"/>
      <c r="W700" s="7"/>
    </row>
    <row r="701">
      <c r="H701" s="7"/>
      <c r="Q701" s="7"/>
      <c r="W701" s="7"/>
    </row>
    <row r="702">
      <c r="H702" s="7"/>
      <c r="Q702" s="7"/>
      <c r="W702" s="7"/>
    </row>
    <row r="703">
      <c r="H703" s="7"/>
      <c r="Q703" s="7"/>
      <c r="W703" s="7"/>
    </row>
    <row r="704">
      <c r="H704" s="7"/>
      <c r="Q704" s="7"/>
      <c r="W704" s="7"/>
    </row>
    <row r="705">
      <c r="H705" s="7"/>
      <c r="Q705" s="7"/>
      <c r="W705" s="7"/>
    </row>
    <row r="706">
      <c r="H706" s="7"/>
      <c r="Q706" s="7"/>
      <c r="W706" s="7"/>
    </row>
    <row r="707">
      <c r="H707" s="7"/>
      <c r="Q707" s="7"/>
      <c r="W707" s="7"/>
    </row>
    <row r="708">
      <c r="H708" s="7"/>
      <c r="Q708" s="7"/>
      <c r="W708" s="7"/>
    </row>
    <row r="709">
      <c r="H709" s="7"/>
      <c r="Q709" s="7"/>
      <c r="W709" s="7"/>
    </row>
    <row r="710">
      <c r="H710" s="7"/>
      <c r="Q710" s="7"/>
      <c r="W710" s="7"/>
    </row>
    <row r="711">
      <c r="H711" s="7"/>
      <c r="Q711" s="7"/>
      <c r="W711" s="7"/>
    </row>
    <row r="712">
      <c r="H712" s="7"/>
      <c r="Q712" s="7"/>
      <c r="W712" s="7"/>
    </row>
    <row r="713">
      <c r="H713" s="7"/>
      <c r="Q713" s="7"/>
      <c r="W713" s="7"/>
    </row>
    <row r="714">
      <c r="H714" s="7"/>
      <c r="Q714" s="7"/>
      <c r="W714" s="7"/>
    </row>
    <row r="715">
      <c r="H715" s="7"/>
      <c r="Q715" s="7"/>
      <c r="W715" s="7"/>
    </row>
    <row r="716">
      <c r="H716" s="7"/>
      <c r="Q716" s="7"/>
      <c r="W716" s="7"/>
    </row>
    <row r="717">
      <c r="H717" s="7"/>
      <c r="Q717" s="7"/>
      <c r="W717" s="7"/>
    </row>
    <row r="718">
      <c r="H718" s="7"/>
      <c r="Q718" s="7"/>
      <c r="W718" s="7"/>
    </row>
    <row r="719">
      <c r="H719" s="7"/>
      <c r="Q719" s="7"/>
      <c r="W719" s="7"/>
    </row>
    <row r="720">
      <c r="H720" s="7"/>
      <c r="Q720" s="7"/>
      <c r="W720" s="7"/>
    </row>
    <row r="721">
      <c r="H721" s="7"/>
      <c r="Q721" s="7"/>
      <c r="W721" s="7"/>
    </row>
    <row r="722">
      <c r="H722" s="7"/>
      <c r="Q722" s="7"/>
      <c r="W722" s="7"/>
    </row>
    <row r="723">
      <c r="H723" s="7"/>
      <c r="Q723" s="7"/>
      <c r="W723" s="7"/>
    </row>
    <row r="724">
      <c r="H724" s="7"/>
      <c r="Q724" s="7"/>
      <c r="W724" s="7"/>
    </row>
    <row r="725">
      <c r="H725" s="7"/>
      <c r="Q725" s="7"/>
      <c r="W725" s="7"/>
    </row>
    <row r="726">
      <c r="H726" s="7"/>
      <c r="Q726" s="7"/>
      <c r="W726" s="7"/>
    </row>
    <row r="727">
      <c r="H727" s="7"/>
      <c r="Q727" s="7"/>
      <c r="W727" s="7"/>
    </row>
    <row r="728">
      <c r="H728" s="7"/>
      <c r="Q728" s="7"/>
      <c r="W728" s="7"/>
    </row>
    <row r="729">
      <c r="H729" s="7"/>
      <c r="Q729" s="7"/>
      <c r="W729" s="7"/>
    </row>
    <row r="730">
      <c r="H730" s="7"/>
      <c r="Q730" s="7"/>
      <c r="W730" s="7"/>
    </row>
    <row r="731">
      <c r="H731" s="7"/>
      <c r="Q731" s="7"/>
      <c r="W731" s="7"/>
    </row>
    <row r="732">
      <c r="H732" s="7"/>
      <c r="Q732" s="7"/>
      <c r="W732" s="7"/>
    </row>
    <row r="733">
      <c r="H733" s="7"/>
      <c r="Q733" s="7"/>
      <c r="W733" s="7"/>
    </row>
    <row r="734">
      <c r="H734" s="7"/>
      <c r="Q734" s="7"/>
      <c r="W734" s="7"/>
    </row>
    <row r="735">
      <c r="H735" s="7"/>
      <c r="Q735" s="7"/>
      <c r="W735" s="7"/>
    </row>
    <row r="736">
      <c r="H736" s="7"/>
      <c r="Q736" s="7"/>
      <c r="W736" s="7"/>
    </row>
    <row r="737">
      <c r="H737" s="7"/>
      <c r="Q737" s="7"/>
      <c r="W737" s="7"/>
    </row>
    <row r="738">
      <c r="H738" s="7"/>
      <c r="Q738" s="7"/>
      <c r="W738" s="7"/>
    </row>
    <row r="739">
      <c r="H739" s="7"/>
      <c r="Q739" s="7"/>
      <c r="W739" s="7"/>
    </row>
    <row r="740">
      <c r="H740" s="7"/>
      <c r="Q740" s="7"/>
      <c r="W740" s="7"/>
    </row>
    <row r="741">
      <c r="H741" s="7"/>
      <c r="Q741" s="7"/>
      <c r="W741" s="7"/>
    </row>
    <row r="742">
      <c r="H742" s="7"/>
      <c r="Q742" s="7"/>
      <c r="W742" s="7"/>
    </row>
    <row r="743">
      <c r="H743" s="7"/>
      <c r="Q743" s="7"/>
      <c r="W743" s="7"/>
    </row>
    <row r="744">
      <c r="H744" s="7"/>
      <c r="Q744" s="7"/>
      <c r="W744" s="7"/>
    </row>
    <row r="745">
      <c r="H745" s="7"/>
      <c r="Q745" s="7"/>
      <c r="W745" s="7"/>
    </row>
    <row r="746">
      <c r="H746" s="7"/>
      <c r="Q746" s="7"/>
      <c r="W746" s="7"/>
    </row>
    <row r="747">
      <c r="H747" s="7"/>
      <c r="Q747" s="7"/>
      <c r="W747" s="7"/>
    </row>
    <row r="748">
      <c r="H748" s="7"/>
      <c r="Q748" s="7"/>
      <c r="W748" s="7"/>
    </row>
    <row r="749">
      <c r="H749" s="7"/>
      <c r="Q749" s="7"/>
      <c r="W749" s="7"/>
    </row>
    <row r="750">
      <c r="H750" s="7"/>
      <c r="Q750" s="7"/>
      <c r="W750" s="7"/>
    </row>
    <row r="751">
      <c r="H751" s="7"/>
      <c r="Q751" s="7"/>
      <c r="W751" s="7"/>
    </row>
    <row r="752">
      <c r="H752" s="7"/>
      <c r="Q752" s="7"/>
      <c r="W752" s="7"/>
    </row>
    <row r="753">
      <c r="H753" s="7"/>
      <c r="Q753" s="7"/>
      <c r="W753" s="7"/>
    </row>
    <row r="754">
      <c r="H754" s="7"/>
      <c r="Q754" s="7"/>
      <c r="W754" s="7"/>
    </row>
    <row r="755">
      <c r="H755" s="7"/>
      <c r="Q755" s="7"/>
      <c r="W755" s="7"/>
    </row>
    <row r="756">
      <c r="H756" s="7"/>
      <c r="Q756" s="7"/>
      <c r="W756" s="7"/>
    </row>
    <row r="757">
      <c r="H757" s="7"/>
      <c r="Q757" s="7"/>
      <c r="W757" s="7"/>
    </row>
    <row r="758">
      <c r="H758" s="7"/>
      <c r="Q758" s="7"/>
      <c r="W758" s="7"/>
    </row>
    <row r="759">
      <c r="H759" s="7"/>
      <c r="Q759" s="7"/>
      <c r="W759" s="7"/>
    </row>
    <row r="760">
      <c r="H760" s="7"/>
      <c r="Q760" s="7"/>
      <c r="W760" s="7"/>
    </row>
    <row r="761">
      <c r="H761" s="7"/>
      <c r="Q761" s="7"/>
      <c r="W761" s="7"/>
    </row>
    <row r="762">
      <c r="H762" s="7"/>
      <c r="Q762" s="7"/>
      <c r="W762" s="7"/>
    </row>
    <row r="763">
      <c r="H763" s="7"/>
      <c r="Q763" s="7"/>
      <c r="W763" s="7"/>
    </row>
    <row r="764">
      <c r="H764" s="7"/>
      <c r="Q764" s="7"/>
      <c r="W764" s="7"/>
    </row>
    <row r="765">
      <c r="H765" s="7"/>
      <c r="Q765" s="7"/>
      <c r="W765" s="7"/>
    </row>
    <row r="766">
      <c r="H766" s="7"/>
      <c r="Q766" s="7"/>
      <c r="W766" s="7"/>
    </row>
    <row r="767">
      <c r="H767" s="7"/>
      <c r="Q767" s="7"/>
      <c r="W767" s="7"/>
    </row>
    <row r="768">
      <c r="H768" s="7"/>
      <c r="Q768" s="7"/>
      <c r="W768" s="7"/>
    </row>
    <row r="769">
      <c r="H769" s="7"/>
      <c r="Q769" s="7"/>
      <c r="W769" s="7"/>
    </row>
    <row r="770">
      <c r="H770" s="7"/>
      <c r="Q770" s="7"/>
      <c r="W770" s="7"/>
    </row>
    <row r="771">
      <c r="H771" s="7"/>
      <c r="Q771" s="7"/>
      <c r="W771" s="7"/>
    </row>
    <row r="772">
      <c r="H772" s="7"/>
      <c r="Q772" s="7"/>
      <c r="W772" s="7"/>
    </row>
    <row r="773">
      <c r="H773" s="7"/>
      <c r="Q773" s="7"/>
      <c r="W773" s="7"/>
    </row>
    <row r="774">
      <c r="H774" s="7"/>
      <c r="Q774" s="7"/>
      <c r="W774" s="7"/>
    </row>
    <row r="775">
      <c r="H775" s="7"/>
      <c r="Q775" s="7"/>
      <c r="W775" s="7"/>
    </row>
    <row r="776">
      <c r="H776" s="7"/>
      <c r="Q776" s="7"/>
      <c r="W776" s="7"/>
    </row>
    <row r="777">
      <c r="H777" s="7"/>
      <c r="Q777" s="7"/>
      <c r="W777" s="7"/>
    </row>
    <row r="778">
      <c r="H778" s="7"/>
      <c r="Q778" s="7"/>
      <c r="W778" s="7"/>
    </row>
    <row r="779">
      <c r="H779" s="7"/>
      <c r="Q779" s="7"/>
      <c r="W779" s="7"/>
    </row>
    <row r="780">
      <c r="H780" s="7"/>
      <c r="Q780" s="7"/>
      <c r="W780" s="7"/>
    </row>
    <row r="781">
      <c r="H781" s="7"/>
      <c r="Q781" s="7"/>
      <c r="W781" s="7"/>
    </row>
    <row r="782">
      <c r="H782" s="7"/>
      <c r="Q782" s="7"/>
      <c r="W782" s="7"/>
    </row>
    <row r="783">
      <c r="H783" s="7"/>
      <c r="Q783" s="7"/>
      <c r="W783" s="7"/>
    </row>
    <row r="784">
      <c r="H784" s="7"/>
      <c r="Q784" s="7"/>
      <c r="W784" s="7"/>
    </row>
    <row r="785">
      <c r="H785" s="7"/>
      <c r="Q785" s="7"/>
      <c r="W785" s="7"/>
    </row>
    <row r="786">
      <c r="H786" s="7"/>
      <c r="Q786" s="7"/>
      <c r="W786" s="7"/>
    </row>
    <row r="787">
      <c r="H787" s="7"/>
      <c r="Q787" s="7"/>
      <c r="W787" s="7"/>
    </row>
    <row r="788">
      <c r="H788" s="7"/>
      <c r="Q788" s="7"/>
      <c r="W788" s="7"/>
    </row>
    <row r="789">
      <c r="H789" s="7"/>
      <c r="Q789" s="7"/>
      <c r="W789" s="7"/>
    </row>
    <row r="790">
      <c r="H790" s="7"/>
      <c r="Q790" s="7"/>
      <c r="W790" s="7"/>
    </row>
    <row r="791">
      <c r="H791" s="7"/>
      <c r="Q791" s="7"/>
      <c r="W791" s="7"/>
    </row>
    <row r="792">
      <c r="H792" s="7"/>
      <c r="Q792" s="7"/>
      <c r="W792" s="7"/>
    </row>
    <row r="793">
      <c r="H793" s="7"/>
      <c r="Q793" s="7"/>
      <c r="W793" s="7"/>
    </row>
    <row r="794">
      <c r="H794" s="7"/>
      <c r="Q794" s="7"/>
      <c r="W794" s="7"/>
    </row>
    <row r="795">
      <c r="H795" s="7"/>
      <c r="Q795" s="7"/>
      <c r="W795" s="7"/>
    </row>
    <row r="796">
      <c r="H796" s="7"/>
      <c r="Q796" s="7"/>
      <c r="W796" s="7"/>
    </row>
    <row r="797">
      <c r="H797" s="7"/>
      <c r="Q797" s="7"/>
      <c r="W797" s="7"/>
    </row>
    <row r="798">
      <c r="H798" s="7"/>
      <c r="Q798" s="7"/>
      <c r="W798" s="7"/>
    </row>
    <row r="799">
      <c r="H799" s="7"/>
      <c r="Q799" s="7"/>
      <c r="W799" s="7"/>
    </row>
    <row r="800">
      <c r="H800" s="7"/>
      <c r="Q800" s="7"/>
      <c r="W800" s="7"/>
    </row>
    <row r="801">
      <c r="H801" s="7"/>
      <c r="Q801" s="7"/>
      <c r="W801" s="7"/>
    </row>
    <row r="802">
      <c r="H802" s="7"/>
      <c r="Q802" s="7"/>
      <c r="W802" s="7"/>
    </row>
    <row r="803">
      <c r="H803" s="7"/>
      <c r="Q803" s="7"/>
      <c r="W803" s="7"/>
    </row>
    <row r="804">
      <c r="H804" s="7"/>
      <c r="Q804" s="7"/>
      <c r="W804" s="7"/>
    </row>
    <row r="805">
      <c r="H805" s="7"/>
      <c r="Q805" s="7"/>
      <c r="W805" s="7"/>
    </row>
    <row r="806">
      <c r="H806" s="7"/>
      <c r="Q806" s="7"/>
      <c r="W806" s="7"/>
    </row>
    <row r="807">
      <c r="H807" s="7"/>
      <c r="Q807" s="7"/>
      <c r="W807" s="7"/>
    </row>
    <row r="808">
      <c r="H808" s="7"/>
      <c r="Q808" s="7"/>
      <c r="W808" s="7"/>
    </row>
    <row r="809">
      <c r="H809" s="7"/>
      <c r="Q809" s="7"/>
      <c r="W809" s="7"/>
    </row>
    <row r="810">
      <c r="H810" s="7"/>
      <c r="Q810" s="7"/>
      <c r="W810" s="7"/>
    </row>
    <row r="811">
      <c r="H811" s="7"/>
      <c r="Q811" s="7"/>
      <c r="W811" s="7"/>
    </row>
    <row r="812">
      <c r="H812" s="7"/>
      <c r="Q812" s="7"/>
      <c r="W812" s="7"/>
    </row>
    <row r="813">
      <c r="H813" s="7"/>
      <c r="Q813" s="7"/>
      <c r="W813" s="7"/>
    </row>
    <row r="814">
      <c r="H814" s="7"/>
      <c r="Q814" s="7"/>
      <c r="W814" s="7"/>
    </row>
    <row r="815">
      <c r="H815" s="7"/>
      <c r="Q815" s="7"/>
      <c r="W815" s="7"/>
    </row>
    <row r="816">
      <c r="H816" s="7"/>
      <c r="Q816" s="7"/>
      <c r="W816" s="7"/>
    </row>
    <row r="817">
      <c r="H817" s="7"/>
      <c r="Q817" s="7"/>
      <c r="W817" s="7"/>
    </row>
    <row r="818">
      <c r="H818" s="7"/>
      <c r="Q818" s="7"/>
      <c r="W818" s="7"/>
    </row>
    <row r="819">
      <c r="H819" s="7"/>
      <c r="Q819" s="7"/>
      <c r="W819" s="7"/>
    </row>
    <row r="820">
      <c r="H820" s="7"/>
      <c r="Q820" s="7"/>
      <c r="W820" s="7"/>
    </row>
    <row r="821">
      <c r="H821" s="7"/>
      <c r="Q821" s="7"/>
      <c r="W821" s="7"/>
    </row>
    <row r="822">
      <c r="H822" s="7"/>
      <c r="Q822" s="7"/>
      <c r="W822" s="7"/>
    </row>
    <row r="823">
      <c r="H823" s="7"/>
      <c r="Q823" s="7"/>
      <c r="W823" s="7"/>
    </row>
    <row r="824">
      <c r="H824" s="7"/>
      <c r="Q824" s="7"/>
      <c r="W824" s="7"/>
    </row>
    <row r="825">
      <c r="H825" s="7"/>
      <c r="Q825" s="7"/>
      <c r="W825" s="7"/>
    </row>
    <row r="826">
      <c r="H826" s="7"/>
      <c r="Q826" s="7"/>
      <c r="W826" s="7"/>
    </row>
    <row r="827">
      <c r="H827" s="7"/>
      <c r="Q827" s="7"/>
      <c r="W827" s="7"/>
    </row>
    <row r="828">
      <c r="H828" s="7"/>
      <c r="Q828" s="7"/>
      <c r="W828" s="7"/>
    </row>
    <row r="829">
      <c r="H829" s="7"/>
      <c r="Q829" s="7"/>
      <c r="W829" s="7"/>
    </row>
    <row r="830">
      <c r="H830" s="7"/>
      <c r="Q830" s="7"/>
      <c r="W830" s="7"/>
    </row>
    <row r="831">
      <c r="H831" s="7"/>
      <c r="Q831" s="7"/>
      <c r="W831" s="7"/>
    </row>
    <row r="832">
      <c r="H832" s="7"/>
      <c r="Q832" s="7"/>
      <c r="W832" s="7"/>
    </row>
    <row r="833">
      <c r="H833" s="7"/>
      <c r="Q833" s="7"/>
      <c r="W833" s="7"/>
    </row>
    <row r="834">
      <c r="H834" s="7"/>
      <c r="Q834" s="7"/>
      <c r="W834" s="7"/>
    </row>
    <row r="835">
      <c r="H835" s="7"/>
      <c r="Q835" s="7"/>
      <c r="W835" s="7"/>
    </row>
    <row r="836">
      <c r="H836" s="7"/>
      <c r="Q836" s="7"/>
      <c r="W836" s="7"/>
    </row>
    <row r="837">
      <c r="H837" s="7"/>
      <c r="Q837" s="7"/>
      <c r="W837" s="7"/>
    </row>
    <row r="838">
      <c r="H838" s="7"/>
      <c r="Q838" s="7"/>
      <c r="W838" s="7"/>
    </row>
    <row r="839">
      <c r="H839" s="7"/>
      <c r="Q839" s="7"/>
      <c r="W839" s="7"/>
    </row>
    <row r="840">
      <c r="H840" s="7"/>
      <c r="Q840" s="7"/>
      <c r="W840" s="7"/>
    </row>
    <row r="841">
      <c r="H841" s="7"/>
      <c r="Q841" s="7"/>
      <c r="W841" s="7"/>
    </row>
    <row r="842">
      <c r="H842" s="7"/>
      <c r="Q842" s="7"/>
      <c r="W842" s="7"/>
    </row>
    <row r="843">
      <c r="H843" s="7"/>
      <c r="Q843" s="7"/>
      <c r="W843" s="7"/>
    </row>
    <row r="844">
      <c r="H844" s="7"/>
      <c r="Q844" s="7"/>
      <c r="W844" s="7"/>
    </row>
    <row r="845">
      <c r="H845" s="7"/>
      <c r="Q845" s="7"/>
      <c r="W845" s="7"/>
    </row>
    <row r="846">
      <c r="H846" s="7"/>
      <c r="Q846" s="7"/>
      <c r="W846" s="7"/>
    </row>
    <row r="847">
      <c r="H847" s="7"/>
      <c r="Q847" s="7"/>
      <c r="W847" s="7"/>
    </row>
    <row r="848">
      <c r="H848" s="7"/>
      <c r="Q848" s="7"/>
      <c r="W848" s="7"/>
    </row>
    <row r="849">
      <c r="H849" s="7"/>
      <c r="Q849" s="7"/>
      <c r="W849" s="7"/>
    </row>
    <row r="850">
      <c r="H850" s="7"/>
      <c r="Q850" s="7"/>
      <c r="W850" s="7"/>
    </row>
    <row r="851">
      <c r="H851" s="7"/>
      <c r="Q851" s="7"/>
      <c r="W851" s="7"/>
    </row>
    <row r="852">
      <c r="H852" s="7"/>
      <c r="Q852" s="7"/>
      <c r="W852" s="7"/>
    </row>
    <row r="853">
      <c r="H853" s="7"/>
      <c r="Q853" s="7"/>
      <c r="W853" s="7"/>
    </row>
    <row r="854">
      <c r="H854" s="7"/>
      <c r="Q854" s="7"/>
      <c r="W854" s="7"/>
    </row>
    <row r="855">
      <c r="H855" s="7"/>
      <c r="Q855" s="7"/>
      <c r="W855" s="7"/>
    </row>
    <row r="856">
      <c r="H856" s="7"/>
      <c r="Q856" s="7"/>
      <c r="W856" s="7"/>
    </row>
    <row r="857">
      <c r="H857" s="7"/>
      <c r="Q857" s="7"/>
      <c r="W857" s="7"/>
    </row>
    <row r="858">
      <c r="H858" s="7"/>
      <c r="Q858" s="7"/>
      <c r="W858" s="7"/>
    </row>
    <row r="859">
      <c r="H859" s="7"/>
      <c r="Q859" s="7"/>
      <c r="W859" s="7"/>
    </row>
    <row r="860">
      <c r="H860" s="7"/>
      <c r="Q860" s="7"/>
      <c r="W860" s="7"/>
    </row>
    <row r="861">
      <c r="H861" s="7"/>
      <c r="Q861" s="7"/>
      <c r="W861" s="7"/>
    </row>
    <row r="862">
      <c r="H862" s="7"/>
      <c r="Q862" s="7"/>
      <c r="W862" s="7"/>
    </row>
    <row r="863">
      <c r="H863" s="7"/>
      <c r="Q863" s="7"/>
      <c r="W863" s="7"/>
    </row>
    <row r="864">
      <c r="H864" s="7"/>
      <c r="Q864" s="7"/>
      <c r="W864" s="7"/>
    </row>
    <row r="865">
      <c r="H865" s="7"/>
      <c r="Q865" s="7"/>
      <c r="W865" s="7"/>
    </row>
    <row r="866">
      <c r="H866" s="7"/>
      <c r="Q866" s="7"/>
      <c r="W866" s="7"/>
    </row>
    <row r="867">
      <c r="H867" s="7"/>
      <c r="Q867" s="7"/>
      <c r="W867" s="7"/>
    </row>
    <row r="868">
      <c r="H868" s="7"/>
      <c r="Q868" s="7"/>
      <c r="W868" s="7"/>
    </row>
    <row r="869">
      <c r="H869" s="7"/>
      <c r="Q869" s="7"/>
      <c r="W869" s="7"/>
    </row>
    <row r="870">
      <c r="H870" s="7"/>
      <c r="Q870" s="7"/>
      <c r="W870" s="7"/>
    </row>
    <row r="871">
      <c r="H871" s="7"/>
      <c r="Q871" s="7"/>
      <c r="W871" s="7"/>
    </row>
    <row r="872">
      <c r="H872" s="7"/>
      <c r="Q872" s="7"/>
      <c r="W872" s="7"/>
    </row>
    <row r="873">
      <c r="H873" s="7"/>
      <c r="Q873" s="7"/>
      <c r="W873" s="7"/>
    </row>
    <row r="874">
      <c r="H874" s="7"/>
      <c r="Q874" s="7"/>
      <c r="W874" s="7"/>
    </row>
    <row r="875">
      <c r="H875" s="7"/>
      <c r="Q875" s="7"/>
      <c r="W875" s="7"/>
    </row>
    <row r="876">
      <c r="H876" s="7"/>
      <c r="Q876" s="7"/>
      <c r="W876" s="7"/>
    </row>
    <row r="877">
      <c r="H877" s="7"/>
      <c r="Q877" s="7"/>
      <c r="W877" s="7"/>
    </row>
    <row r="878">
      <c r="H878" s="7"/>
      <c r="Q878" s="7"/>
      <c r="W878" s="7"/>
    </row>
    <row r="879">
      <c r="H879" s="7"/>
      <c r="Q879" s="7"/>
      <c r="W879" s="7"/>
    </row>
    <row r="880">
      <c r="H880" s="7"/>
      <c r="Q880" s="7"/>
      <c r="W880" s="7"/>
    </row>
    <row r="881">
      <c r="H881" s="7"/>
      <c r="Q881" s="7"/>
      <c r="W881" s="7"/>
    </row>
    <row r="882">
      <c r="H882" s="7"/>
      <c r="Q882" s="7"/>
      <c r="W882" s="7"/>
    </row>
    <row r="883">
      <c r="H883" s="7"/>
      <c r="Q883" s="7"/>
      <c r="W883" s="7"/>
    </row>
    <row r="884">
      <c r="H884" s="7"/>
      <c r="Q884" s="7"/>
      <c r="W884" s="7"/>
    </row>
    <row r="885">
      <c r="H885" s="7"/>
      <c r="Q885" s="7"/>
      <c r="W885" s="7"/>
    </row>
    <row r="886">
      <c r="H886" s="7"/>
      <c r="Q886" s="7"/>
      <c r="W886" s="7"/>
    </row>
    <row r="887">
      <c r="H887" s="7"/>
      <c r="Q887" s="7"/>
      <c r="W887" s="7"/>
    </row>
    <row r="888">
      <c r="H888" s="7"/>
      <c r="Q888" s="7"/>
      <c r="W888" s="7"/>
    </row>
    <row r="889">
      <c r="H889" s="7"/>
      <c r="Q889" s="7"/>
      <c r="W889" s="7"/>
    </row>
    <row r="890">
      <c r="H890" s="7"/>
      <c r="Q890" s="7"/>
      <c r="W890" s="7"/>
    </row>
    <row r="891">
      <c r="H891" s="7"/>
      <c r="Q891" s="7"/>
      <c r="W891" s="7"/>
    </row>
    <row r="892">
      <c r="H892" s="7"/>
      <c r="Q892" s="7"/>
      <c r="W892" s="7"/>
    </row>
    <row r="893">
      <c r="H893" s="7"/>
      <c r="Q893" s="7"/>
      <c r="W893" s="7"/>
    </row>
    <row r="894">
      <c r="H894" s="7"/>
      <c r="Q894" s="7"/>
      <c r="W894" s="7"/>
    </row>
    <row r="895">
      <c r="H895" s="7"/>
      <c r="Q895" s="7"/>
      <c r="W895" s="7"/>
    </row>
    <row r="896">
      <c r="H896" s="7"/>
      <c r="Q896" s="7"/>
      <c r="W896" s="7"/>
    </row>
    <row r="897">
      <c r="H897" s="7"/>
      <c r="Q897" s="7"/>
      <c r="W897" s="7"/>
    </row>
    <row r="898">
      <c r="H898" s="7"/>
      <c r="Q898" s="7"/>
      <c r="W898" s="7"/>
    </row>
    <row r="899">
      <c r="H899" s="7"/>
      <c r="Q899" s="7"/>
      <c r="W899" s="7"/>
    </row>
    <row r="900">
      <c r="H900" s="7"/>
      <c r="Q900" s="7"/>
      <c r="W900" s="7"/>
    </row>
    <row r="901">
      <c r="H901" s="7"/>
      <c r="Q901" s="7"/>
      <c r="W901" s="7"/>
    </row>
    <row r="902">
      <c r="H902" s="7"/>
      <c r="Q902" s="7"/>
      <c r="W902" s="7"/>
    </row>
    <row r="903">
      <c r="H903" s="7"/>
      <c r="Q903" s="7"/>
      <c r="W903" s="7"/>
    </row>
    <row r="904">
      <c r="H904" s="7"/>
      <c r="Q904" s="7"/>
      <c r="W904" s="7"/>
    </row>
    <row r="905">
      <c r="H905" s="7"/>
      <c r="Q905" s="7"/>
      <c r="W905" s="7"/>
    </row>
    <row r="906">
      <c r="H906" s="7"/>
      <c r="Q906" s="7"/>
      <c r="W906" s="7"/>
    </row>
    <row r="907">
      <c r="H907" s="7"/>
      <c r="Q907" s="7"/>
      <c r="W907" s="7"/>
    </row>
    <row r="908">
      <c r="H908" s="7"/>
      <c r="Q908" s="7"/>
      <c r="W908" s="7"/>
    </row>
    <row r="909">
      <c r="H909" s="7"/>
      <c r="Q909" s="7"/>
      <c r="W909" s="7"/>
    </row>
    <row r="910">
      <c r="H910" s="7"/>
      <c r="Q910" s="7"/>
      <c r="W910" s="7"/>
    </row>
    <row r="911">
      <c r="H911" s="7"/>
      <c r="Q911" s="7"/>
      <c r="W911" s="7"/>
    </row>
    <row r="912">
      <c r="H912" s="7"/>
      <c r="Q912" s="7"/>
      <c r="W912" s="7"/>
    </row>
    <row r="913">
      <c r="H913" s="7"/>
      <c r="Q913" s="7"/>
      <c r="W913" s="7"/>
    </row>
    <row r="914">
      <c r="H914" s="7"/>
      <c r="Q914" s="7"/>
      <c r="W914" s="7"/>
    </row>
    <row r="915">
      <c r="H915" s="7"/>
      <c r="Q915" s="7"/>
      <c r="W915" s="7"/>
    </row>
    <row r="916">
      <c r="H916" s="7"/>
      <c r="Q916" s="7"/>
      <c r="W916" s="7"/>
    </row>
    <row r="917">
      <c r="H917" s="7"/>
      <c r="Q917" s="7"/>
      <c r="W917" s="7"/>
    </row>
    <row r="918">
      <c r="H918" s="7"/>
      <c r="Q918" s="7"/>
      <c r="W918" s="7"/>
    </row>
    <row r="919">
      <c r="H919" s="7"/>
      <c r="Q919" s="7"/>
      <c r="W919" s="7"/>
    </row>
    <row r="920">
      <c r="H920" s="7"/>
      <c r="Q920" s="7"/>
      <c r="W920" s="7"/>
    </row>
    <row r="921">
      <c r="H921" s="7"/>
      <c r="Q921" s="7"/>
      <c r="W921" s="7"/>
    </row>
    <row r="922">
      <c r="H922" s="7"/>
      <c r="Q922" s="7"/>
      <c r="W922" s="7"/>
    </row>
    <row r="923">
      <c r="H923" s="7"/>
      <c r="Q923" s="7"/>
      <c r="W923" s="7"/>
    </row>
    <row r="924">
      <c r="H924" s="7"/>
      <c r="Q924" s="7"/>
      <c r="W924" s="7"/>
    </row>
    <row r="925">
      <c r="H925" s="7"/>
      <c r="Q925" s="7"/>
      <c r="W925" s="7"/>
    </row>
    <row r="926">
      <c r="H926" s="7"/>
      <c r="Q926" s="7"/>
      <c r="W926" s="7"/>
    </row>
    <row r="927">
      <c r="H927" s="7"/>
      <c r="Q927" s="7"/>
      <c r="W927" s="7"/>
    </row>
    <row r="928">
      <c r="H928" s="7"/>
      <c r="Q928" s="7"/>
      <c r="W928" s="7"/>
    </row>
    <row r="929">
      <c r="H929" s="7"/>
      <c r="Q929" s="7"/>
      <c r="W929" s="7"/>
    </row>
    <row r="930">
      <c r="H930" s="7"/>
      <c r="Q930" s="7"/>
      <c r="W930" s="7"/>
    </row>
    <row r="931">
      <c r="H931" s="7"/>
      <c r="Q931" s="7"/>
      <c r="W931" s="7"/>
    </row>
    <row r="932">
      <c r="H932" s="7"/>
      <c r="Q932" s="7"/>
      <c r="W932" s="7"/>
    </row>
    <row r="933">
      <c r="H933" s="7"/>
      <c r="Q933" s="7"/>
      <c r="W933" s="7"/>
    </row>
    <row r="934">
      <c r="H934" s="7"/>
      <c r="Q934" s="7"/>
      <c r="W934" s="7"/>
    </row>
    <row r="935">
      <c r="H935" s="7"/>
      <c r="Q935" s="7"/>
      <c r="W935" s="7"/>
    </row>
    <row r="936">
      <c r="H936" s="7"/>
      <c r="Q936" s="7"/>
      <c r="W936" s="7"/>
    </row>
    <row r="937">
      <c r="H937" s="7"/>
      <c r="Q937" s="7"/>
      <c r="W937" s="7"/>
    </row>
    <row r="938">
      <c r="H938" s="7"/>
      <c r="Q938" s="7"/>
      <c r="W938" s="7"/>
    </row>
    <row r="939">
      <c r="H939" s="7"/>
      <c r="Q939" s="7"/>
      <c r="W939" s="7"/>
    </row>
    <row r="940">
      <c r="H940" s="7"/>
      <c r="Q940" s="7"/>
      <c r="W940" s="7"/>
    </row>
    <row r="941">
      <c r="H941" s="7"/>
      <c r="Q941" s="7"/>
      <c r="W941" s="7"/>
    </row>
    <row r="942">
      <c r="H942" s="7"/>
      <c r="Q942" s="7"/>
      <c r="W942" s="7"/>
    </row>
    <row r="943">
      <c r="H943" s="7"/>
      <c r="Q943" s="7"/>
      <c r="W943" s="7"/>
    </row>
    <row r="944">
      <c r="H944" s="7"/>
      <c r="Q944" s="7"/>
      <c r="W944" s="7"/>
    </row>
    <row r="945">
      <c r="H945" s="7"/>
      <c r="Q945" s="7"/>
      <c r="W945" s="7"/>
    </row>
    <row r="946">
      <c r="H946" s="7"/>
      <c r="Q946" s="7"/>
      <c r="W946" s="7"/>
    </row>
    <row r="947">
      <c r="H947" s="7"/>
      <c r="Q947" s="7"/>
      <c r="W947" s="7"/>
    </row>
    <row r="948">
      <c r="H948" s="7"/>
      <c r="Q948" s="7"/>
      <c r="W948" s="7"/>
    </row>
    <row r="949">
      <c r="H949" s="7"/>
      <c r="Q949" s="7"/>
      <c r="W949" s="7"/>
    </row>
    <row r="950">
      <c r="H950" s="7"/>
      <c r="Q950" s="7"/>
      <c r="W950" s="7"/>
    </row>
    <row r="951">
      <c r="H951" s="7"/>
      <c r="Q951" s="7"/>
      <c r="W951" s="7"/>
    </row>
    <row r="952">
      <c r="H952" s="7"/>
      <c r="Q952" s="7"/>
      <c r="W952" s="7"/>
    </row>
    <row r="953">
      <c r="H953" s="7"/>
      <c r="Q953" s="7"/>
      <c r="W953" s="7"/>
    </row>
    <row r="954">
      <c r="H954" s="7"/>
      <c r="Q954" s="7"/>
      <c r="W954" s="7"/>
    </row>
    <row r="955">
      <c r="H955" s="7"/>
      <c r="Q955" s="7"/>
      <c r="W955" s="7"/>
    </row>
    <row r="956">
      <c r="H956" s="7"/>
      <c r="Q956" s="7"/>
      <c r="W956" s="7"/>
    </row>
    <row r="957">
      <c r="H957" s="7"/>
      <c r="Q957" s="7"/>
      <c r="W957" s="7"/>
    </row>
    <row r="958">
      <c r="H958" s="7"/>
      <c r="Q958" s="7"/>
      <c r="W958" s="7"/>
    </row>
    <row r="959">
      <c r="H959" s="7"/>
      <c r="Q959" s="7"/>
      <c r="W959" s="7"/>
    </row>
    <row r="960">
      <c r="H960" s="7"/>
      <c r="Q960" s="7"/>
      <c r="W960" s="7"/>
    </row>
    <row r="961">
      <c r="H961" s="7"/>
      <c r="Q961" s="7"/>
      <c r="W961" s="7"/>
    </row>
    <row r="962">
      <c r="H962" s="7"/>
      <c r="Q962" s="7"/>
      <c r="W962" s="7"/>
    </row>
    <row r="963">
      <c r="H963" s="7"/>
      <c r="Q963" s="7"/>
      <c r="W963" s="7"/>
    </row>
    <row r="964">
      <c r="H964" s="7"/>
      <c r="Q964" s="7"/>
      <c r="W964" s="7"/>
    </row>
    <row r="965">
      <c r="H965" s="7"/>
      <c r="Q965" s="7"/>
      <c r="W965" s="7"/>
    </row>
    <row r="966">
      <c r="H966" s="7"/>
      <c r="Q966" s="7"/>
      <c r="W966" s="7"/>
    </row>
    <row r="967">
      <c r="H967" s="7"/>
      <c r="Q967" s="7"/>
      <c r="W967" s="7"/>
    </row>
    <row r="968">
      <c r="H968" s="7"/>
      <c r="Q968" s="7"/>
      <c r="W968" s="7"/>
    </row>
    <row r="969">
      <c r="H969" s="7"/>
      <c r="Q969" s="7"/>
      <c r="W969" s="7"/>
    </row>
    <row r="970">
      <c r="H970" s="7"/>
      <c r="Q970" s="7"/>
      <c r="W970" s="7"/>
    </row>
    <row r="971">
      <c r="H971" s="7"/>
      <c r="Q971" s="7"/>
      <c r="W971" s="7"/>
    </row>
    <row r="972">
      <c r="H972" s="7"/>
      <c r="Q972" s="7"/>
      <c r="W972" s="7"/>
    </row>
    <row r="973">
      <c r="H973" s="7"/>
      <c r="Q973" s="7"/>
      <c r="W973" s="7"/>
    </row>
    <row r="974">
      <c r="H974" s="7"/>
      <c r="Q974" s="7"/>
      <c r="W974" s="7"/>
    </row>
    <row r="975">
      <c r="H975" s="7"/>
      <c r="Q975" s="7"/>
      <c r="W975" s="7"/>
    </row>
    <row r="976">
      <c r="H976" s="7"/>
      <c r="Q976" s="7"/>
      <c r="W976" s="7"/>
    </row>
    <row r="977">
      <c r="H977" s="7"/>
      <c r="Q977" s="7"/>
      <c r="W977" s="7"/>
    </row>
    <row r="978">
      <c r="H978" s="7"/>
      <c r="Q978" s="7"/>
      <c r="W978" s="7"/>
    </row>
    <row r="979">
      <c r="H979" s="7"/>
      <c r="Q979" s="7"/>
      <c r="W979" s="7"/>
    </row>
    <row r="980">
      <c r="H980" s="7"/>
      <c r="Q980" s="7"/>
      <c r="W980" s="7"/>
    </row>
    <row r="981">
      <c r="H981" s="7"/>
      <c r="Q981" s="7"/>
      <c r="W981" s="7"/>
    </row>
    <row r="982">
      <c r="H982" s="7"/>
      <c r="Q982" s="7"/>
      <c r="W982" s="7"/>
    </row>
    <row r="983">
      <c r="H983" s="7"/>
      <c r="Q983" s="7"/>
      <c r="W983" s="7"/>
    </row>
    <row r="984">
      <c r="H984" s="7"/>
      <c r="Q984" s="7"/>
      <c r="W984" s="7"/>
    </row>
    <row r="985">
      <c r="H985" s="7"/>
      <c r="Q985" s="7"/>
      <c r="W985" s="7"/>
    </row>
    <row r="986">
      <c r="H986" s="7"/>
      <c r="Q986" s="7"/>
      <c r="W986" s="7"/>
    </row>
    <row r="987">
      <c r="H987" s="7"/>
      <c r="Q987" s="7"/>
      <c r="W987" s="7"/>
    </row>
    <row r="988">
      <c r="H988" s="7"/>
      <c r="Q988" s="7"/>
      <c r="W988" s="7"/>
    </row>
    <row r="989">
      <c r="H989" s="7"/>
      <c r="Q989" s="7"/>
      <c r="W989" s="7"/>
    </row>
    <row r="990">
      <c r="H990" s="7"/>
      <c r="Q990" s="7"/>
      <c r="W990" s="7"/>
    </row>
    <row r="991">
      <c r="H991" s="7"/>
      <c r="Q991" s="7"/>
      <c r="W991" s="7"/>
    </row>
    <row r="992">
      <c r="H992" s="7"/>
      <c r="Q992" s="7"/>
      <c r="W992" s="7"/>
    </row>
    <row r="993">
      <c r="H993" s="7"/>
      <c r="Q993" s="7"/>
      <c r="W993" s="7"/>
    </row>
    <row r="994">
      <c r="H994" s="7"/>
      <c r="Q994" s="7"/>
      <c r="W994" s="7"/>
    </row>
    <row r="995">
      <c r="H995" s="7"/>
      <c r="Q995" s="7"/>
      <c r="W995" s="7"/>
    </row>
    <row r="996">
      <c r="H996" s="7"/>
      <c r="Q996" s="7"/>
      <c r="W996" s="7"/>
    </row>
    <row r="997">
      <c r="H997" s="7"/>
      <c r="Q997" s="7"/>
      <c r="W997" s="7"/>
    </row>
    <row r="998">
      <c r="H998" s="7"/>
      <c r="Q998" s="7"/>
      <c r="W998" s="7"/>
    </row>
    <row r="999">
      <c r="H999" s="7"/>
      <c r="Q999" s="7"/>
      <c r="W999" s="7"/>
    </row>
    <row r="1000">
      <c r="H1000" s="7"/>
      <c r="Q1000" s="7"/>
      <c r="W1000" s="7"/>
    </row>
    <row r="1001">
      <c r="H1001" s="7"/>
      <c r="Q1001" s="7"/>
      <c r="W1001" s="7"/>
    </row>
  </sheetData>
  <mergeCells count="2">
    <mergeCell ref="A1:B1"/>
    <mergeCell ref="M1:N1"/>
  </mergeCells>
  <dataValidations>
    <dataValidation type="custom" allowBlank="1" showDropDown="1" sqref="S2:S41">
      <formula1>OR(NOT(ISERROR(DATEVALUE(S2))), AND(ISNUMBER(S2), LEFT(CELL("format", S2))="D"))</formula1>
    </dataValidation>
    <dataValidation type="custom" allowBlank="1" showDropDown="1" sqref="T2:T41">
      <formula1>AND(ISNUMBER(T2),(NOT(OR(NOT(ISERROR(DATEVALUE(T2))), AND(ISNUMBER(T2), LEFT(CELL("format", T2))="D")))))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42</v>
      </c>
      <c r="B1" s="3"/>
      <c r="D1" s="6" t="s">
        <v>43</v>
      </c>
      <c r="E1" s="6" t="s">
        <v>43</v>
      </c>
    </row>
    <row r="2">
      <c r="A2" s="6" t="s">
        <v>6</v>
      </c>
      <c r="B2" s="5" t="s">
        <v>44</v>
      </c>
      <c r="D2" s="6" t="s">
        <v>6</v>
      </c>
      <c r="E2" s="6" t="s">
        <v>45</v>
      </c>
    </row>
    <row r="3">
      <c r="A3" s="36">
        <v>45870.0</v>
      </c>
      <c r="B3" s="37">
        <v>426364.0</v>
      </c>
      <c r="D3" s="36">
        <v>45870.0</v>
      </c>
      <c r="E3" s="19">
        <v>59945.61</v>
      </c>
    </row>
    <row r="4">
      <c r="A4" s="36">
        <v>45839.0</v>
      </c>
      <c r="B4" s="37">
        <v>460018.0</v>
      </c>
      <c r="D4" s="36">
        <v>45839.0</v>
      </c>
      <c r="E4" s="19">
        <v>59708.36</v>
      </c>
    </row>
    <row r="5">
      <c r="A5" s="36">
        <v>45809.0</v>
      </c>
      <c r="B5" s="37">
        <v>459138.0</v>
      </c>
      <c r="D5" s="36">
        <v>45809.0</v>
      </c>
      <c r="E5" s="19">
        <v>57498.92</v>
      </c>
    </row>
    <row r="6">
      <c r="A6" s="36">
        <v>45778.0</v>
      </c>
      <c r="B6" s="37">
        <v>509130.0</v>
      </c>
      <c r="D6" s="36">
        <v>45778.0</v>
      </c>
      <c r="E6" s="19">
        <v>72114.71</v>
      </c>
    </row>
    <row r="7">
      <c r="A7" s="36">
        <v>45748.0</v>
      </c>
      <c r="B7" s="37">
        <v>465427.0</v>
      </c>
      <c r="D7" s="36">
        <v>45748.0</v>
      </c>
      <c r="E7" s="19">
        <v>82645.48</v>
      </c>
    </row>
    <row r="8">
      <c r="A8" s="36">
        <v>45717.0</v>
      </c>
      <c r="B8" s="37">
        <v>350734.0</v>
      </c>
      <c r="D8" s="36">
        <v>45717.0</v>
      </c>
      <c r="E8" s="19">
        <v>90759.36</v>
      </c>
    </row>
    <row r="9">
      <c r="A9" s="36">
        <v>45689.0</v>
      </c>
      <c r="B9" s="37">
        <v>207238.0</v>
      </c>
      <c r="D9" s="36">
        <v>45689.0</v>
      </c>
      <c r="E9" s="19">
        <v>60450.56</v>
      </c>
    </row>
    <row r="10">
      <c r="A10" s="36">
        <v>45658.0</v>
      </c>
      <c r="B10" s="37">
        <v>195036.0</v>
      </c>
      <c r="D10" s="36">
        <v>45658.0</v>
      </c>
      <c r="E10" s="19">
        <v>57269.0</v>
      </c>
    </row>
    <row r="11">
      <c r="A11" s="36">
        <v>45627.0</v>
      </c>
      <c r="B11" s="37">
        <v>321669.0</v>
      </c>
      <c r="D11" s="36">
        <v>45627.0</v>
      </c>
      <c r="E11" s="19">
        <v>61962.09</v>
      </c>
    </row>
    <row r="12">
      <c r="A12" s="36">
        <v>45597.0</v>
      </c>
      <c r="B12" s="37">
        <v>337637.0</v>
      </c>
      <c r="D12" s="36">
        <v>45597.0</v>
      </c>
      <c r="E12" s="19">
        <v>66922.81</v>
      </c>
    </row>
    <row r="13">
      <c r="A13" s="36">
        <v>45566.0</v>
      </c>
      <c r="B13" s="37">
        <v>455832.0</v>
      </c>
      <c r="D13" s="36">
        <v>45566.0</v>
      </c>
      <c r="E13" s="19">
        <v>72270.2</v>
      </c>
    </row>
    <row r="14">
      <c r="A14" s="36">
        <v>45536.0</v>
      </c>
      <c r="B14" s="37">
        <v>475720.0</v>
      </c>
      <c r="D14" s="36">
        <v>45536.0</v>
      </c>
      <c r="E14" s="19">
        <v>58070.43</v>
      </c>
    </row>
    <row r="15">
      <c r="A15" s="36">
        <v>45505.0</v>
      </c>
      <c r="B15" s="37">
        <v>510543.0</v>
      </c>
      <c r="D15" s="36">
        <v>45505.0</v>
      </c>
      <c r="E15" s="19">
        <v>50010.55</v>
      </c>
    </row>
    <row r="16">
      <c r="A16" s="36">
        <v>45474.0</v>
      </c>
      <c r="B16" s="37">
        <v>539271.0</v>
      </c>
      <c r="D16" s="36">
        <v>45474.0</v>
      </c>
      <c r="E16" s="19">
        <v>38846.61</v>
      </c>
    </row>
    <row r="17">
      <c r="A17" s="36">
        <v>45444.0</v>
      </c>
      <c r="B17" s="37">
        <v>498480.0</v>
      </c>
      <c r="D17" s="36">
        <v>45444.0</v>
      </c>
      <c r="E17" s="19">
        <v>43087.67</v>
      </c>
    </row>
    <row r="18">
      <c r="A18" s="36">
        <v>45413.0</v>
      </c>
      <c r="B18" s="37">
        <v>552263.0</v>
      </c>
      <c r="D18" s="36">
        <v>45413.0</v>
      </c>
      <c r="E18" s="19">
        <v>58492.88</v>
      </c>
    </row>
    <row r="19">
      <c r="A19" s="36">
        <v>45383.0</v>
      </c>
      <c r="B19" s="37">
        <v>476136.0</v>
      </c>
      <c r="D19" s="36">
        <v>45383.0</v>
      </c>
      <c r="E19" s="19">
        <v>52956.34</v>
      </c>
    </row>
    <row r="20">
      <c r="A20" s="36">
        <v>45352.0</v>
      </c>
      <c r="B20" s="37">
        <v>402610.0</v>
      </c>
      <c r="D20" s="36">
        <v>45352.0</v>
      </c>
      <c r="E20" s="19">
        <v>61948.82</v>
      </c>
    </row>
    <row r="21">
      <c r="A21" s="36">
        <v>45323.0</v>
      </c>
      <c r="B21" s="37">
        <v>192319.0</v>
      </c>
      <c r="D21" s="36">
        <v>45323.0</v>
      </c>
      <c r="E21" s="19">
        <v>46178.22</v>
      </c>
    </row>
    <row r="22">
      <c r="A22" s="36">
        <v>45292.0</v>
      </c>
      <c r="B22" s="37">
        <v>177693.0</v>
      </c>
      <c r="D22" s="36">
        <v>45292.0</v>
      </c>
      <c r="E22" s="19">
        <v>33900.14</v>
      </c>
    </row>
    <row r="23">
      <c r="A23" s="36"/>
    </row>
    <row r="26">
      <c r="A26" s="38" t="s">
        <v>46</v>
      </c>
    </row>
  </sheetData>
  <mergeCells count="1">
    <mergeCell ref="A1:B1"/>
  </mergeCells>
  <hyperlinks>
    <hyperlink r:id="rId1" ref="A26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6</v>
      </c>
      <c r="B1" s="5" t="s">
        <v>44</v>
      </c>
      <c r="D1" s="6" t="s">
        <v>6</v>
      </c>
      <c r="E1" s="6" t="s">
        <v>45</v>
      </c>
    </row>
    <row r="2">
      <c r="A2" s="36">
        <v>45870.0</v>
      </c>
      <c r="B2" s="37">
        <v>16971.0</v>
      </c>
      <c r="D2" s="36">
        <v>45870.0</v>
      </c>
      <c r="E2" s="19">
        <v>59945.61</v>
      </c>
    </row>
    <row r="3">
      <c r="A3" s="36">
        <v>45839.0</v>
      </c>
      <c r="B3" s="37">
        <v>17763.0</v>
      </c>
      <c r="D3" s="36">
        <v>45839.0</v>
      </c>
      <c r="E3" s="19">
        <v>59708.36</v>
      </c>
    </row>
    <row r="4">
      <c r="A4" s="36">
        <v>45809.0</v>
      </c>
      <c r="B4" s="37">
        <v>23289.0</v>
      </c>
      <c r="D4" s="36">
        <v>45809.0</v>
      </c>
      <c r="E4" s="19">
        <v>57498.92</v>
      </c>
    </row>
    <row r="5">
      <c r="A5" s="36">
        <v>45778.0</v>
      </c>
      <c r="B5" s="37">
        <v>30999.0</v>
      </c>
      <c r="D5" s="36">
        <v>45778.0</v>
      </c>
      <c r="E5" s="19">
        <v>72114.71</v>
      </c>
    </row>
    <row r="6">
      <c r="A6" s="36">
        <v>45748.0</v>
      </c>
      <c r="B6" s="37">
        <v>42764.0</v>
      </c>
      <c r="D6" s="36">
        <v>45748.0</v>
      </c>
      <c r="E6" s="19">
        <v>82645.48</v>
      </c>
    </row>
    <row r="7">
      <c r="A7" s="36">
        <v>45717.0</v>
      </c>
      <c r="B7" s="37">
        <v>44997.0</v>
      </c>
      <c r="D7" s="36">
        <v>45717.0</v>
      </c>
      <c r="E7" s="19">
        <v>90759.36</v>
      </c>
    </row>
    <row r="8">
      <c r="A8" s="36">
        <v>45689.0</v>
      </c>
      <c r="B8" s="37">
        <v>32189.0</v>
      </c>
      <c r="D8" s="36">
        <v>45689.0</v>
      </c>
      <c r="E8" s="19">
        <v>60450.56</v>
      </c>
    </row>
    <row r="9">
      <c r="A9" s="36">
        <v>45658.0</v>
      </c>
      <c r="B9" s="37">
        <v>25113.0</v>
      </c>
      <c r="D9" s="36">
        <v>45658.0</v>
      </c>
      <c r="E9" s="19">
        <v>57269.0</v>
      </c>
    </row>
    <row r="10">
      <c r="A10" s="36">
        <v>45627.0</v>
      </c>
      <c r="B10" s="37">
        <v>26539.0</v>
      </c>
      <c r="D10" s="36">
        <v>45627.0</v>
      </c>
      <c r="E10" s="19">
        <v>61962.09</v>
      </c>
    </row>
    <row r="11">
      <c r="A11" s="36">
        <v>45597.0</v>
      </c>
      <c r="B11" s="37">
        <v>29777.0</v>
      </c>
      <c r="D11" s="36">
        <v>45597.0</v>
      </c>
      <c r="E11" s="19">
        <v>66922.81</v>
      </c>
    </row>
    <row r="12">
      <c r="A12" s="36">
        <v>45566.0</v>
      </c>
      <c r="B12" s="37">
        <v>37683.0</v>
      </c>
      <c r="D12" s="36">
        <v>45566.0</v>
      </c>
      <c r="E12" s="19">
        <v>72270.2</v>
      </c>
    </row>
    <row r="13">
      <c r="A13" s="36">
        <v>45536.0</v>
      </c>
      <c r="B13" s="37">
        <v>28015.0</v>
      </c>
      <c r="D13" s="36">
        <v>45536.0</v>
      </c>
      <c r="E13" s="19">
        <v>58070.43</v>
      </c>
    </row>
    <row r="14">
      <c r="A14" s="36">
        <v>45505.0</v>
      </c>
      <c r="B14" s="37">
        <v>18424.0</v>
      </c>
      <c r="D14" s="36">
        <v>45505.0</v>
      </c>
      <c r="E14" s="19">
        <v>50010.55</v>
      </c>
    </row>
    <row r="15">
      <c r="A15" s="36">
        <v>45474.0</v>
      </c>
      <c r="B15" s="37">
        <v>19617.0</v>
      </c>
      <c r="D15" s="36">
        <v>45474.0</v>
      </c>
      <c r="E15" s="19">
        <v>38846.61</v>
      </c>
    </row>
    <row r="16">
      <c r="A16" s="36">
        <v>45444.0</v>
      </c>
      <c r="B16" s="37">
        <v>26709.0</v>
      </c>
      <c r="D16" s="36">
        <v>45444.0</v>
      </c>
      <c r="E16" s="19">
        <v>43087.67</v>
      </c>
    </row>
    <row r="17">
      <c r="A17" s="36">
        <v>45413.0</v>
      </c>
      <c r="B17" s="37">
        <v>38226.0</v>
      </c>
      <c r="D17" s="36">
        <v>45413.0</v>
      </c>
      <c r="E17" s="19">
        <v>58492.88</v>
      </c>
    </row>
    <row r="18">
      <c r="A18" s="36">
        <v>45383.0</v>
      </c>
      <c r="B18" s="37">
        <v>47926.0</v>
      </c>
      <c r="D18" s="36">
        <v>45383.0</v>
      </c>
      <c r="E18" s="19">
        <v>52956.34</v>
      </c>
    </row>
    <row r="19">
      <c r="A19" s="36">
        <v>45352.0</v>
      </c>
      <c r="B19" s="37">
        <v>54411.0</v>
      </c>
      <c r="D19" s="36">
        <v>45352.0</v>
      </c>
      <c r="E19" s="19">
        <v>61948.82</v>
      </c>
    </row>
    <row r="20">
      <c r="A20" s="36">
        <v>45323.0</v>
      </c>
      <c r="B20" s="37">
        <v>29926.0</v>
      </c>
      <c r="D20" s="36">
        <v>45323.0</v>
      </c>
      <c r="E20" s="19">
        <v>46178.22</v>
      </c>
    </row>
    <row r="21">
      <c r="A21" s="36">
        <v>45292.0</v>
      </c>
      <c r="B21" s="37">
        <v>22714.0</v>
      </c>
      <c r="D21" s="36">
        <v>45292.0</v>
      </c>
      <c r="E21" s="19">
        <v>33900.14</v>
      </c>
    </row>
    <row r="22">
      <c r="A22" s="36"/>
    </row>
    <row r="25">
      <c r="A25" s="38" t="s">
        <v>47</v>
      </c>
    </row>
  </sheetData>
  <hyperlinks>
    <hyperlink r:id="rId1" ref="A25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</cols>
  <sheetData>
    <row r="2">
      <c r="A2" s="6" t="s">
        <v>6</v>
      </c>
      <c r="B2" s="6" t="s">
        <v>48</v>
      </c>
      <c r="C2" s="6" t="s">
        <v>49</v>
      </c>
    </row>
    <row r="3">
      <c r="A3" s="36">
        <v>44927.0</v>
      </c>
      <c r="B3" s="6">
        <v>3.469</v>
      </c>
      <c r="C3" s="19">
        <v>35616.27</v>
      </c>
      <c r="D3" s="19"/>
      <c r="F3" s="19"/>
    </row>
    <row r="4">
      <c r="A4" s="36">
        <v>44958.0</v>
      </c>
      <c r="B4" s="6">
        <v>3.577</v>
      </c>
      <c r="C4" s="19">
        <v>39872.05</v>
      </c>
      <c r="D4" s="19"/>
      <c r="F4" s="19"/>
    </row>
    <row r="5">
      <c r="A5" s="36">
        <v>44986.0</v>
      </c>
      <c r="B5" s="6">
        <v>4.215</v>
      </c>
      <c r="C5" s="19">
        <v>62238.99</v>
      </c>
      <c r="D5" s="19"/>
      <c r="F5" s="19"/>
    </row>
    <row r="6">
      <c r="A6" s="36">
        <v>45017.0</v>
      </c>
      <c r="B6" s="6">
        <v>4.796</v>
      </c>
      <c r="C6" s="19">
        <v>60765.49</v>
      </c>
      <c r="D6" s="19"/>
      <c r="F6" s="19"/>
    </row>
    <row r="7">
      <c r="A7" s="36">
        <v>45047.0</v>
      </c>
      <c r="B7" s="6">
        <v>4.936</v>
      </c>
      <c r="C7" s="19">
        <v>47491.77</v>
      </c>
      <c r="D7" s="19"/>
      <c r="F7" s="19"/>
    </row>
    <row r="8">
      <c r="A8" s="36">
        <v>45078.0</v>
      </c>
      <c r="B8" s="6">
        <v>4.389</v>
      </c>
      <c r="C8" s="19">
        <v>46379.82</v>
      </c>
      <c r="D8" s="19"/>
      <c r="F8" s="19"/>
    </row>
    <row r="9">
      <c r="A9" s="36">
        <v>45108.0</v>
      </c>
      <c r="B9" s="6">
        <v>3.877</v>
      </c>
      <c r="C9" s="19">
        <v>38287.07</v>
      </c>
      <c r="D9" s="19"/>
      <c r="F9" s="19"/>
    </row>
    <row r="10">
      <c r="A10" s="36">
        <v>45139.0</v>
      </c>
      <c r="B10" s="6">
        <v>4.27</v>
      </c>
      <c r="C10" s="19">
        <v>37317.66</v>
      </c>
      <c r="D10" s="19"/>
      <c r="F10" s="19"/>
    </row>
    <row r="11">
      <c r="A11" s="36">
        <v>45170.0</v>
      </c>
      <c r="B11" s="6">
        <v>4.762</v>
      </c>
      <c r="C11" s="19">
        <v>46764.38</v>
      </c>
      <c r="D11" s="19"/>
      <c r="F11" s="19"/>
    </row>
    <row r="12">
      <c r="A12" s="36">
        <v>45200.0</v>
      </c>
      <c r="B12" s="6">
        <v>4.492</v>
      </c>
      <c r="C12" s="19">
        <v>55486.65</v>
      </c>
      <c r="D12" s="19"/>
      <c r="F12" s="19"/>
    </row>
    <row r="13">
      <c r="A13" s="36">
        <v>45231.0</v>
      </c>
      <c r="B13" s="6">
        <v>3.724</v>
      </c>
      <c r="C13" s="19">
        <v>51436.32</v>
      </c>
      <c r="D13" s="19"/>
      <c r="F13" s="19"/>
    </row>
    <row r="14">
      <c r="A14" s="36">
        <v>45261.0</v>
      </c>
      <c r="B14" s="6">
        <v>3.318</v>
      </c>
      <c r="C14" s="19">
        <v>40688.22</v>
      </c>
      <c r="D14" s="19"/>
      <c r="F14" s="19"/>
    </row>
    <row r="15">
      <c r="A15" s="36">
        <v>45292.0</v>
      </c>
      <c r="B15" s="6">
        <v>3.211</v>
      </c>
      <c r="C15" s="19">
        <v>33900.14</v>
      </c>
      <c r="D15" s="19"/>
      <c r="F15" s="19"/>
      <c r="G15" s="39" t="str">
        <f t="array" ref="G15:Z15">TRANSPOSE(D15:D34)</f>
        <v/>
      </c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>
      <c r="A16" s="36">
        <v>45323.0</v>
      </c>
      <c r="B16" s="6">
        <v>3.368</v>
      </c>
      <c r="C16" s="19">
        <v>46178.22</v>
      </c>
      <c r="D16" s="19"/>
      <c r="F16" s="19"/>
    </row>
    <row r="17">
      <c r="A17" s="36">
        <v>45352.0</v>
      </c>
      <c r="B17" s="6">
        <v>3.72</v>
      </c>
      <c r="C17" s="19">
        <v>61948.82</v>
      </c>
      <c r="D17" s="19"/>
      <c r="F17" s="19"/>
    </row>
    <row r="18">
      <c r="A18" s="36">
        <v>45383.0</v>
      </c>
      <c r="B18" s="6">
        <v>4.236</v>
      </c>
      <c r="C18" s="19">
        <v>52956.34</v>
      </c>
      <c r="D18" s="19"/>
      <c r="F18" s="19"/>
    </row>
    <row r="19">
      <c r="A19" s="36">
        <v>45413.0</v>
      </c>
      <c r="B19" s="6">
        <v>4.034</v>
      </c>
      <c r="C19" s="19">
        <v>58492.88</v>
      </c>
      <c r="D19" s="19"/>
      <c r="F19" s="19"/>
    </row>
    <row r="20">
      <c r="A20" s="36">
        <v>45444.0</v>
      </c>
      <c r="B20" s="6">
        <v>3.698</v>
      </c>
      <c r="C20" s="19">
        <v>43087.67</v>
      </c>
      <c r="D20" s="19"/>
      <c r="F20" s="19"/>
    </row>
    <row r="21">
      <c r="A21" s="36">
        <v>45474.0</v>
      </c>
      <c r="B21" s="6">
        <v>3.492</v>
      </c>
      <c r="C21" s="19">
        <v>38846.61</v>
      </c>
      <c r="D21" s="19"/>
      <c r="F21" s="19"/>
      <c r="G21" s="39" t="str">
        <f t="array" ref="G21:G40">SORT(D15:D34,SEQUENCE(ROWS(D15:D34),1),TRUE)</f>
        <v/>
      </c>
    </row>
    <row r="22">
      <c r="A22" s="36">
        <v>45505.0</v>
      </c>
      <c r="B22" s="6">
        <v>3.455</v>
      </c>
      <c r="C22" s="19">
        <v>50010.55</v>
      </c>
      <c r="D22" s="19"/>
      <c r="F22" s="19"/>
      <c r="G22" s="39"/>
    </row>
    <row r="23">
      <c r="A23" s="36">
        <v>45536.0</v>
      </c>
      <c r="B23" s="6">
        <v>3.416</v>
      </c>
      <c r="C23" s="19">
        <v>58070.43</v>
      </c>
      <c r="D23" s="19"/>
      <c r="F23" s="19"/>
      <c r="G23" s="39"/>
    </row>
    <row r="24">
      <c r="A24" s="36">
        <v>45566.0</v>
      </c>
      <c r="B24" s="6">
        <v>3.314</v>
      </c>
      <c r="C24" s="19">
        <v>72270.2</v>
      </c>
      <c r="D24" s="19"/>
      <c r="F24" s="19"/>
      <c r="G24" s="39"/>
    </row>
    <row r="25">
      <c r="A25" s="36">
        <v>45597.0</v>
      </c>
      <c r="B25" s="6">
        <v>3.203</v>
      </c>
      <c r="C25" s="19">
        <v>66922.81</v>
      </c>
      <c r="D25" s="19"/>
      <c r="F25" s="19"/>
      <c r="G25" s="39"/>
    </row>
    <row r="26">
      <c r="A26" s="36">
        <v>45627.0</v>
      </c>
      <c r="B26" s="6">
        <v>3.144</v>
      </c>
      <c r="C26" s="19">
        <v>61962.09</v>
      </c>
      <c r="D26" s="19"/>
      <c r="F26" s="19"/>
      <c r="G26" s="39"/>
    </row>
    <row r="27">
      <c r="A27" s="36">
        <v>45658.0</v>
      </c>
      <c r="B27" s="6">
        <v>3.122</v>
      </c>
      <c r="C27" s="19">
        <v>57269.0</v>
      </c>
      <c r="D27" s="19"/>
      <c r="F27" s="19"/>
      <c r="G27" s="39"/>
    </row>
    <row r="28">
      <c r="A28" s="36">
        <v>45689.0</v>
      </c>
      <c r="B28" s="6">
        <v>3.511</v>
      </c>
      <c r="C28" s="19">
        <v>60450.56</v>
      </c>
      <c r="D28" s="19"/>
      <c r="F28" s="19"/>
      <c r="G28" s="39"/>
    </row>
    <row r="29">
      <c r="A29" s="36">
        <v>45717.0</v>
      </c>
      <c r="B29" s="6">
        <v>3.522</v>
      </c>
      <c r="C29" s="19">
        <v>90759.36</v>
      </c>
      <c r="D29" s="19"/>
      <c r="F29" s="19"/>
      <c r="G29" s="39"/>
    </row>
    <row r="30">
      <c r="A30" s="36">
        <v>45748.0</v>
      </c>
      <c r="B30" s="6">
        <v>3.53</v>
      </c>
      <c r="C30" s="19">
        <v>82645.48</v>
      </c>
      <c r="D30" s="19"/>
      <c r="F30" s="19"/>
      <c r="G30" s="39"/>
    </row>
    <row r="31">
      <c r="A31" s="36">
        <v>45778.0</v>
      </c>
      <c r="B31" s="6">
        <v>3.501</v>
      </c>
      <c r="C31" s="19">
        <v>72114.71</v>
      </c>
      <c r="D31" s="19"/>
      <c r="F31" s="19"/>
      <c r="G31" s="39"/>
    </row>
    <row r="32">
      <c r="A32" s="36">
        <v>45809.0</v>
      </c>
      <c r="B32" s="6">
        <v>3.42</v>
      </c>
      <c r="C32" s="19">
        <v>57498.92</v>
      </c>
      <c r="D32" s="19"/>
      <c r="F32" s="19"/>
      <c r="G32" s="39"/>
    </row>
    <row r="33">
      <c r="A33" s="36">
        <v>45839.0</v>
      </c>
      <c r="B33" s="6">
        <v>3.298</v>
      </c>
      <c r="C33" s="19">
        <v>59708.36</v>
      </c>
      <c r="D33" s="19"/>
      <c r="F33" s="19"/>
      <c r="G33" s="39"/>
    </row>
    <row r="34">
      <c r="A34" s="36">
        <v>45870.0</v>
      </c>
      <c r="B34" s="6">
        <v>3.418</v>
      </c>
      <c r="C34" s="19">
        <v>58516.77</v>
      </c>
      <c r="D34" s="19"/>
      <c r="F34" s="19"/>
      <c r="G34" s="39"/>
    </row>
    <row r="35">
      <c r="A35" s="36">
        <v>45901.0</v>
      </c>
      <c r="B35" s="6">
        <v>3.81</v>
      </c>
      <c r="C35" s="19">
        <v>56655.82</v>
      </c>
      <c r="G35" s="39"/>
    </row>
    <row r="36">
      <c r="G36" s="39"/>
    </row>
    <row r="37">
      <c r="G37" s="39"/>
    </row>
    <row r="38">
      <c r="G38" s="39"/>
    </row>
    <row r="39">
      <c r="G39" s="39"/>
    </row>
    <row r="40">
      <c r="A40" s="38" t="s">
        <v>50</v>
      </c>
      <c r="G40" s="39"/>
    </row>
  </sheetData>
  <hyperlinks>
    <hyperlink r:id="rId1" ref="A40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14.75"/>
    <col customWidth="1" min="5" max="5" width="20.63"/>
    <col customWidth="1" min="6" max="6" width="19.38"/>
    <col customWidth="1" min="8" max="8" width="20.63"/>
    <col customWidth="1" min="9" max="9" width="14.0"/>
    <col customWidth="1" min="11" max="11" width="19.38"/>
  </cols>
  <sheetData>
    <row r="1">
      <c r="A1" s="40" t="s">
        <v>51</v>
      </c>
      <c r="B1" s="41"/>
      <c r="C1" s="41"/>
      <c r="D1" s="42"/>
      <c r="E1" s="43"/>
      <c r="F1" s="40" t="s">
        <v>52</v>
      </c>
      <c r="G1" s="41"/>
      <c r="H1" s="41"/>
      <c r="I1" s="42"/>
      <c r="J1" s="43"/>
      <c r="K1" s="44" t="s">
        <v>53</v>
      </c>
    </row>
    <row r="2">
      <c r="A2" s="45"/>
      <c r="B2" s="46" t="s">
        <v>54</v>
      </c>
      <c r="C2" s="46" t="s">
        <v>26</v>
      </c>
      <c r="D2" s="47" t="s">
        <v>55</v>
      </c>
      <c r="E2" s="48"/>
      <c r="F2" s="49"/>
      <c r="G2" s="46" t="s">
        <v>54</v>
      </c>
      <c r="H2" s="46" t="s">
        <v>26</v>
      </c>
      <c r="I2" s="47" t="s">
        <v>55</v>
      </c>
      <c r="J2" s="50"/>
      <c r="K2" s="50"/>
      <c r="L2" s="46" t="s">
        <v>54</v>
      </c>
      <c r="M2" s="46" t="s">
        <v>26</v>
      </c>
      <c r="N2" s="46" t="s">
        <v>55</v>
      </c>
    </row>
    <row r="3">
      <c r="A3" s="51" t="s">
        <v>56</v>
      </c>
      <c r="B3" s="52">
        <v>139.0</v>
      </c>
      <c r="C3" s="53">
        <v>1112.0</v>
      </c>
      <c r="D3" s="54">
        <f t="shared" ref="D3:D15" si="1">C3/$C$16</f>
        <v>0.07212583104</v>
      </c>
      <c r="F3" s="51" t="s">
        <v>57</v>
      </c>
      <c r="G3" s="52">
        <v>104.0</v>
      </c>
      <c r="H3" s="53">
        <v>728.0</v>
      </c>
      <c r="I3" s="54">
        <f t="shared" ref="I3:I17" si="2">H3/$H$18</f>
        <v>0.05617717416</v>
      </c>
      <c r="K3" s="55" t="s">
        <v>57</v>
      </c>
      <c r="L3" s="52">
        <v>123.0</v>
      </c>
      <c r="M3" s="53">
        <v>861.0</v>
      </c>
      <c r="N3" s="28">
        <f t="shared" ref="N3:N14" si="3">M3/$M$15</f>
        <v>0.06603773585</v>
      </c>
    </row>
    <row r="4">
      <c r="A4" s="51" t="s">
        <v>58</v>
      </c>
      <c r="B4" s="52">
        <v>188.0</v>
      </c>
      <c r="C4" s="53">
        <v>1222.0</v>
      </c>
      <c r="D4" s="54">
        <f t="shared" si="1"/>
        <v>0.07926058051</v>
      </c>
      <c r="F4" s="51" t="s">
        <v>56</v>
      </c>
      <c r="G4" s="52">
        <v>92.0</v>
      </c>
      <c r="H4" s="53">
        <v>736.0</v>
      </c>
      <c r="I4" s="54">
        <f t="shared" si="2"/>
        <v>0.05679450575</v>
      </c>
      <c r="K4" s="55" t="s">
        <v>56</v>
      </c>
      <c r="L4" s="52">
        <v>79.0</v>
      </c>
      <c r="M4" s="53">
        <v>632.0</v>
      </c>
      <c r="N4" s="28">
        <f t="shared" si="3"/>
        <v>0.04847369228</v>
      </c>
    </row>
    <row r="5">
      <c r="A5" s="51" t="s">
        <v>59</v>
      </c>
      <c r="B5" s="52">
        <v>294.0</v>
      </c>
      <c r="C5" s="53">
        <v>1911.0</v>
      </c>
      <c r="D5" s="54">
        <f t="shared" si="1"/>
        <v>0.1239500568</v>
      </c>
      <c r="F5" s="51" t="s">
        <v>58</v>
      </c>
      <c r="G5" s="52">
        <v>81.0</v>
      </c>
      <c r="H5" s="53">
        <v>526.5</v>
      </c>
      <c r="I5" s="54">
        <f t="shared" si="2"/>
        <v>0.04062813489</v>
      </c>
      <c r="K5" s="55" t="s">
        <v>58</v>
      </c>
      <c r="L5" s="52">
        <v>87.0</v>
      </c>
      <c r="M5" s="53">
        <v>565.5</v>
      </c>
      <c r="N5" s="28">
        <f t="shared" si="3"/>
        <v>0.04337321675</v>
      </c>
    </row>
    <row r="6">
      <c r="A6" s="51" t="s">
        <v>60</v>
      </c>
      <c r="B6" s="52">
        <v>220.0</v>
      </c>
      <c r="C6" s="53">
        <v>1760.0</v>
      </c>
      <c r="D6" s="54">
        <f t="shared" si="1"/>
        <v>0.1141559916</v>
      </c>
      <c r="F6" s="51" t="s">
        <v>59</v>
      </c>
      <c r="G6" s="52">
        <v>594.0</v>
      </c>
      <c r="H6" s="53">
        <v>3861.0</v>
      </c>
      <c r="I6" s="54">
        <f t="shared" si="2"/>
        <v>0.2979396558</v>
      </c>
      <c r="K6" s="55" t="s">
        <v>59</v>
      </c>
      <c r="L6" s="52">
        <v>549.0</v>
      </c>
      <c r="M6" s="53">
        <v>3568.5</v>
      </c>
      <c r="N6" s="28">
        <f t="shared" si="3"/>
        <v>0.273699954</v>
      </c>
    </row>
    <row r="7">
      <c r="A7" s="51" t="s">
        <v>61</v>
      </c>
      <c r="B7" s="52">
        <v>250.0</v>
      </c>
      <c r="C7" s="53">
        <v>1500.0</v>
      </c>
      <c r="D7" s="54">
        <f t="shared" si="1"/>
        <v>0.09729203827</v>
      </c>
      <c r="F7" s="51" t="s">
        <v>62</v>
      </c>
      <c r="G7" s="52">
        <v>35.0</v>
      </c>
      <c r="H7" s="53">
        <v>227.5</v>
      </c>
      <c r="I7" s="54">
        <f t="shared" si="2"/>
        <v>0.01755536693</v>
      </c>
      <c r="K7" s="55" t="s">
        <v>62</v>
      </c>
      <c r="L7" s="52">
        <v>117.0</v>
      </c>
      <c r="M7" s="53">
        <v>760.5</v>
      </c>
      <c r="N7" s="28">
        <f t="shared" si="3"/>
        <v>0.05832949839</v>
      </c>
    </row>
    <row r="8">
      <c r="A8" s="51" t="s">
        <v>63</v>
      </c>
      <c r="B8" s="52">
        <v>289.0</v>
      </c>
      <c r="C8" s="53">
        <v>2023.0</v>
      </c>
      <c r="D8" s="54">
        <f t="shared" si="1"/>
        <v>0.1312145289</v>
      </c>
      <c r="F8" s="51" t="s">
        <v>60</v>
      </c>
      <c r="G8" s="52">
        <v>112.0</v>
      </c>
      <c r="H8" s="53">
        <v>896.0</v>
      </c>
      <c r="I8" s="54">
        <f t="shared" si="2"/>
        <v>0.06914113743</v>
      </c>
      <c r="K8" s="55" t="s">
        <v>61</v>
      </c>
      <c r="L8" s="52">
        <v>70.0</v>
      </c>
      <c r="M8" s="53">
        <v>420.0</v>
      </c>
      <c r="N8" s="28">
        <f t="shared" si="3"/>
        <v>0.03221352968</v>
      </c>
    </row>
    <row r="9">
      <c r="A9" s="51" t="s">
        <v>64</v>
      </c>
      <c r="B9" s="52">
        <v>251.0</v>
      </c>
      <c r="C9" s="53">
        <v>2008.0</v>
      </c>
      <c r="D9" s="54">
        <f t="shared" si="1"/>
        <v>0.1302416086</v>
      </c>
      <c r="F9" s="51" t="s">
        <v>61</v>
      </c>
      <c r="G9" s="52">
        <v>61.0</v>
      </c>
      <c r="H9" s="53">
        <v>366.0</v>
      </c>
      <c r="I9" s="54">
        <f t="shared" si="2"/>
        <v>0.02824291998</v>
      </c>
      <c r="K9" s="55" t="s">
        <v>64</v>
      </c>
      <c r="L9" s="52">
        <v>151.0</v>
      </c>
      <c r="M9" s="53">
        <v>1208.0</v>
      </c>
      <c r="N9" s="28">
        <f t="shared" si="3"/>
        <v>0.09265224728</v>
      </c>
    </row>
    <row r="10">
      <c r="A10" s="51" t="s">
        <v>65</v>
      </c>
      <c r="B10" s="52">
        <v>91.0</v>
      </c>
      <c r="C10" s="53">
        <v>728.0</v>
      </c>
      <c r="D10" s="54">
        <f t="shared" si="1"/>
        <v>0.04721906924</v>
      </c>
      <c r="F10" s="51" t="s">
        <v>63</v>
      </c>
      <c r="G10" s="52">
        <v>30.0</v>
      </c>
      <c r="H10" s="53">
        <v>210.0</v>
      </c>
      <c r="I10" s="54">
        <f t="shared" si="2"/>
        <v>0.01620495409</v>
      </c>
      <c r="K10" s="55" t="s">
        <v>66</v>
      </c>
      <c r="L10" s="52">
        <v>88.0</v>
      </c>
      <c r="M10" s="53">
        <v>616.0</v>
      </c>
      <c r="N10" s="28">
        <f t="shared" si="3"/>
        <v>0.0472465102</v>
      </c>
    </row>
    <row r="11">
      <c r="A11" s="51" t="s">
        <v>67</v>
      </c>
      <c r="B11" s="52">
        <v>3.0</v>
      </c>
      <c r="C11" s="53">
        <v>21.0</v>
      </c>
      <c r="D11" s="54">
        <f t="shared" si="1"/>
        <v>0.001362088536</v>
      </c>
      <c r="F11" s="51" t="s">
        <v>64</v>
      </c>
      <c r="G11" s="52">
        <v>212.0</v>
      </c>
      <c r="H11" s="53">
        <v>1696.0</v>
      </c>
      <c r="I11" s="54">
        <f t="shared" si="2"/>
        <v>0.1308742959</v>
      </c>
      <c r="K11" s="55" t="s">
        <v>65</v>
      </c>
      <c r="L11" s="52">
        <v>112.0</v>
      </c>
      <c r="M11" s="53">
        <v>896.0</v>
      </c>
      <c r="N11" s="28">
        <f t="shared" si="3"/>
        <v>0.06872219666</v>
      </c>
    </row>
    <row r="12">
      <c r="A12" s="51" t="s">
        <v>68</v>
      </c>
      <c r="B12" s="52">
        <v>121.0</v>
      </c>
      <c r="C12" s="53">
        <v>847.0</v>
      </c>
      <c r="D12" s="54">
        <f t="shared" si="1"/>
        <v>0.05493757094</v>
      </c>
      <c r="F12" s="51" t="s">
        <v>66</v>
      </c>
      <c r="G12" s="52">
        <v>64.0</v>
      </c>
      <c r="H12" s="53">
        <v>448.0</v>
      </c>
      <c r="I12" s="54">
        <f t="shared" si="2"/>
        <v>0.03457056872</v>
      </c>
      <c r="K12" s="55" t="s">
        <v>68</v>
      </c>
      <c r="L12" s="52">
        <v>55.0</v>
      </c>
      <c r="M12" s="53">
        <v>385.0</v>
      </c>
      <c r="N12" s="28">
        <f t="shared" si="3"/>
        <v>0.02952906888</v>
      </c>
    </row>
    <row r="13">
      <c r="A13" s="51" t="s">
        <v>69</v>
      </c>
      <c r="B13" s="52">
        <v>57.0</v>
      </c>
      <c r="C13" s="53">
        <v>370.5</v>
      </c>
      <c r="D13" s="54">
        <f t="shared" si="1"/>
        <v>0.02403113345</v>
      </c>
      <c r="F13" s="51" t="s">
        <v>65</v>
      </c>
      <c r="G13" s="52">
        <v>133.0</v>
      </c>
      <c r="H13" s="53">
        <v>1064.0</v>
      </c>
      <c r="I13" s="54">
        <f t="shared" si="2"/>
        <v>0.0821051007</v>
      </c>
      <c r="K13" s="55" t="s">
        <v>69</v>
      </c>
      <c r="L13" s="52">
        <v>103.0</v>
      </c>
      <c r="M13" s="53">
        <v>669.5</v>
      </c>
      <c r="N13" s="28">
        <f t="shared" si="3"/>
        <v>0.05134990029</v>
      </c>
    </row>
    <row r="14">
      <c r="A14" s="51" t="s">
        <v>70</v>
      </c>
      <c r="B14" s="52">
        <v>117.0</v>
      </c>
      <c r="C14" s="53">
        <v>819.0</v>
      </c>
      <c r="D14" s="54">
        <f t="shared" si="1"/>
        <v>0.05312145289</v>
      </c>
      <c r="F14" s="51" t="s">
        <v>68</v>
      </c>
      <c r="G14" s="52">
        <v>69.0</v>
      </c>
      <c r="H14" s="53">
        <v>483.0</v>
      </c>
      <c r="I14" s="54">
        <f t="shared" si="2"/>
        <v>0.0372713944</v>
      </c>
      <c r="K14" s="55" t="s">
        <v>71</v>
      </c>
      <c r="L14" s="52">
        <v>307.0</v>
      </c>
      <c r="M14" s="56">
        <v>2456.0</v>
      </c>
      <c r="N14" s="28">
        <f t="shared" si="3"/>
        <v>0.1883724498</v>
      </c>
    </row>
    <row r="15">
      <c r="A15" s="51" t="s">
        <v>72</v>
      </c>
      <c r="B15" s="52">
        <v>137.0</v>
      </c>
      <c r="C15" s="56">
        <v>1096.0</v>
      </c>
      <c r="D15" s="54">
        <f t="shared" si="1"/>
        <v>0.07108804929</v>
      </c>
      <c r="F15" s="51" t="s">
        <v>69</v>
      </c>
      <c r="G15" s="52">
        <v>54.0</v>
      </c>
      <c r="H15" s="53">
        <v>351.0</v>
      </c>
      <c r="I15" s="54">
        <f t="shared" si="2"/>
        <v>0.02708542326</v>
      </c>
      <c r="K15" s="55"/>
      <c r="M15" s="39">
        <f>SUM(M3:M14)</f>
        <v>13038</v>
      </c>
    </row>
    <row r="16">
      <c r="A16" s="57"/>
      <c r="B16" s="58"/>
      <c r="C16" s="59">
        <f>SUM(C3:C15)</f>
        <v>15417.5</v>
      </c>
      <c r="D16" s="60"/>
      <c r="F16" s="51" t="s">
        <v>70</v>
      </c>
      <c r="G16" s="52">
        <v>74.0</v>
      </c>
      <c r="H16" s="53">
        <v>518.0</v>
      </c>
      <c r="I16" s="54">
        <f t="shared" si="2"/>
        <v>0.03997222008</v>
      </c>
    </row>
    <row r="17">
      <c r="F17" s="51" t="s">
        <v>71</v>
      </c>
      <c r="G17" s="52">
        <v>106.0</v>
      </c>
      <c r="H17" s="56">
        <v>848.0</v>
      </c>
      <c r="I17" s="54">
        <f t="shared" si="2"/>
        <v>0.06543714793</v>
      </c>
    </row>
    <row r="18">
      <c r="F18" s="57"/>
      <c r="G18" s="58"/>
      <c r="H18" s="59">
        <f>SUM(H3:H17)</f>
        <v>12959</v>
      </c>
      <c r="I18" s="60"/>
    </row>
    <row r="20">
      <c r="A20" s="6" t="s">
        <v>73</v>
      </c>
      <c r="B20" s="6" t="s">
        <v>74</v>
      </c>
      <c r="E20" s="25" t="s">
        <v>73</v>
      </c>
      <c r="F20" s="6" t="s">
        <v>75</v>
      </c>
      <c r="H20" s="25" t="s">
        <v>73</v>
      </c>
      <c r="I20" s="6" t="s">
        <v>76</v>
      </c>
    </row>
    <row r="21">
      <c r="A21" s="55" t="s">
        <v>63</v>
      </c>
      <c r="B21" s="61">
        <v>2023.0</v>
      </c>
      <c r="E21" s="55" t="s">
        <v>59</v>
      </c>
      <c r="F21" s="61">
        <v>3861.0</v>
      </c>
      <c r="H21" s="55" t="s">
        <v>59</v>
      </c>
      <c r="I21" s="61">
        <v>3568.5</v>
      </c>
    </row>
    <row r="22">
      <c r="A22" s="55" t="s">
        <v>64</v>
      </c>
      <c r="B22" s="61">
        <v>2008.0</v>
      </c>
      <c r="E22" s="55" t="s">
        <v>64</v>
      </c>
      <c r="F22" s="61">
        <v>1696.0</v>
      </c>
      <c r="H22" s="55" t="s">
        <v>71</v>
      </c>
      <c r="I22" s="61">
        <v>2456.0</v>
      </c>
    </row>
    <row r="23">
      <c r="A23" s="55" t="s">
        <v>59</v>
      </c>
      <c r="B23" s="61">
        <v>1911.0</v>
      </c>
      <c r="E23" s="55" t="s">
        <v>65</v>
      </c>
      <c r="F23" s="61">
        <v>1064.0</v>
      </c>
      <c r="H23" s="55" t="s">
        <v>64</v>
      </c>
      <c r="I23" s="61">
        <v>1208.0</v>
      </c>
    </row>
    <row r="24">
      <c r="A24" s="55" t="s">
        <v>60</v>
      </c>
      <c r="B24" s="61">
        <v>1760.0</v>
      </c>
      <c r="E24" s="55" t="s">
        <v>60</v>
      </c>
      <c r="F24" s="61">
        <v>896.0</v>
      </c>
      <c r="H24" s="55" t="s">
        <v>65</v>
      </c>
      <c r="I24" s="61">
        <v>896.0</v>
      </c>
    </row>
    <row r="25">
      <c r="A25" s="55" t="s">
        <v>61</v>
      </c>
      <c r="B25" s="61">
        <v>1500.0</v>
      </c>
      <c r="E25" s="55" t="s">
        <v>71</v>
      </c>
      <c r="F25" s="61">
        <v>848.0</v>
      </c>
      <c r="H25" s="55" t="s">
        <v>57</v>
      </c>
      <c r="I25" s="61">
        <v>861.0</v>
      </c>
    </row>
    <row r="26">
      <c r="A26" s="55" t="s">
        <v>58</v>
      </c>
      <c r="B26" s="61">
        <v>1222.0</v>
      </c>
      <c r="E26" s="55" t="s">
        <v>56</v>
      </c>
      <c r="F26" s="61">
        <v>736.0</v>
      </c>
      <c r="H26" s="55" t="s">
        <v>62</v>
      </c>
      <c r="I26" s="61">
        <v>760.5</v>
      </c>
    </row>
    <row r="27">
      <c r="A27" s="55" t="s">
        <v>56</v>
      </c>
      <c r="B27" s="61">
        <v>1112.0</v>
      </c>
      <c r="E27" s="55" t="s">
        <v>57</v>
      </c>
      <c r="F27" s="61">
        <v>728.0</v>
      </c>
      <c r="H27" s="55" t="s">
        <v>69</v>
      </c>
      <c r="I27" s="61">
        <v>669.5</v>
      </c>
    </row>
    <row r="28">
      <c r="A28" s="55" t="s">
        <v>72</v>
      </c>
      <c r="B28" s="61">
        <v>1096.0</v>
      </c>
      <c r="E28" s="55" t="s">
        <v>58</v>
      </c>
      <c r="F28" s="61">
        <v>526.5</v>
      </c>
      <c r="H28" s="55" t="s">
        <v>56</v>
      </c>
      <c r="I28" s="61">
        <v>632.0</v>
      </c>
    </row>
    <row r="29">
      <c r="A29" s="55" t="s">
        <v>68</v>
      </c>
      <c r="B29" s="61">
        <v>847.0</v>
      </c>
      <c r="E29" s="55" t="s">
        <v>70</v>
      </c>
      <c r="F29" s="61">
        <v>518.0</v>
      </c>
      <c r="H29" s="55" t="s">
        <v>66</v>
      </c>
      <c r="I29" s="61">
        <v>616.0</v>
      </c>
    </row>
    <row r="30">
      <c r="A30" s="55" t="s">
        <v>70</v>
      </c>
      <c r="B30" s="61">
        <v>819.0</v>
      </c>
      <c r="E30" s="55" t="s">
        <v>68</v>
      </c>
      <c r="F30" s="61">
        <v>483.0</v>
      </c>
      <c r="H30" s="55" t="s">
        <v>58</v>
      </c>
      <c r="I30" s="61">
        <v>565.5</v>
      </c>
    </row>
    <row r="31">
      <c r="A31" s="55" t="s">
        <v>65</v>
      </c>
      <c r="B31" s="61">
        <v>728.0</v>
      </c>
      <c r="E31" s="55" t="s">
        <v>66</v>
      </c>
      <c r="F31" s="61">
        <v>448.0</v>
      </c>
      <c r="H31" s="55" t="s">
        <v>61</v>
      </c>
      <c r="I31" s="61">
        <v>420.0</v>
      </c>
    </row>
    <row r="32">
      <c r="A32" s="55" t="s">
        <v>69</v>
      </c>
      <c r="B32" s="61">
        <v>370.5</v>
      </c>
      <c r="E32" s="55" t="s">
        <v>61</v>
      </c>
      <c r="F32" s="61">
        <v>366.0</v>
      </c>
      <c r="H32" s="55" t="s">
        <v>68</v>
      </c>
      <c r="I32" s="62">
        <v>385.0</v>
      </c>
    </row>
    <row r="33">
      <c r="A33" s="55" t="s">
        <v>67</v>
      </c>
      <c r="B33" s="62">
        <v>21.0</v>
      </c>
      <c r="E33" s="55" t="s">
        <v>69</v>
      </c>
      <c r="F33" s="61">
        <v>351.0</v>
      </c>
    </row>
    <row r="34">
      <c r="B34" s="63">
        <f>SUM('Drink Sales - Pints Only'!$B$21:$B$33)</f>
        <v>15417.5</v>
      </c>
      <c r="E34" s="55" t="s">
        <v>62</v>
      </c>
      <c r="F34" s="61">
        <v>227.5</v>
      </c>
    </row>
    <row r="35">
      <c r="E35" s="55" t="s">
        <v>63</v>
      </c>
      <c r="F35" s="62">
        <v>210.0</v>
      </c>
    </row>
    <row r="36">
      <c r="E36" s="64"/>
      <c r="F36" s="61">
        <f>SUM('Drink Sales - Pints Only'!$F$21:$F$35)</f>
        <v>12959</v>
      </c>
    </row>
  </sheetData>
  <autoFilter ref="$A$20:$B$34">
    <sortState ref="A20:B34">
      <sortCondition descending="1" ref="B20:B34"/>
      <sortCondition descending="1" ref="A20:A34"/>
    </sortState>
  </autoFilter>
  <mergeCells count="3">
    <mergeCell ref="A1:D1"/>
    <mergeCell ref="F1:I1"/>
    <mergeCell ref="K1:N1"/>
  </mergeCells>
  <conditionalFormatting sqref="B3:B15">
    <cfRule type="colorScale" priority="1">
      <colorScale>
        <cfvo type="min"/>
        <cfvo type="max"/>
        <color rgb="FFFFFFFF"/>
        <color rgb="FF57BB8A"/>
      </colorScale>
    </cfRule>
  </conditionalFormatting>
  <conditionalFormatting sqref="C3:C15">
    <cfRule type="colorScale" priority="2">
      <colorScale>
        <cfvo type="min"/>
        <cfvo type="max"/>
        <color rgb="FFFFFFFF"/>
        <color rgb="FF57BB8A"/>
      </colorScale>
    </cfRule>
  </conditionalFormatting>
  <conditionalFormatting sqref="D3:D15">
    <cfRule type="colorScale" priority="3">
      <colorScale>
        <cfvo type="min"/>
        <cfvo type="max"/>
        <color rgb="FFFFFFFF"/>
        <color rgb="FF57BB8A"/>
      </colorScale>
    </cfRule>
  </conditionalFormatting>
  <conditionalFormatting sqref="G3:G17">
    <cfRule type="colorScale" priority="4">
      <colorScale>
        <cfvo type="min"/>
        <cfvo type="max"/>
        <color rgb="FFFFFFFF"/>
        <color rgb="FF57BB8A"/>
      </colorScale>
    </cfRule>
  </conditionalFormatting>
  <conditionalFormatting sqref="H3:H17">
    <cfRule type="colorScale" priority="5">
      <colorScale>
        <cfvo type="min"/>
        <cfvo type="max"/>
        <color rgb="FFFFFFFF"/>
        <color rgb="FF57BB8A"/>
      </colorScale>
    </cfRule>
  </conditionalFormatting>
  <conditionalFormatting sqref="I3:I17">
    <cfRule type="colorScale" priority="6">
      <colorScale>
        <cfvo type="min"/>
        <cfvo type="max"/>
        <color rgb="FFFFFFFF"/>
        <color rgb="FF57BB8A"/>
      </colorScale>
    </cfRule>
  </conditionalFormatting>
  <conditionalFormatting sqref="L3:L14">
    <cfRule type="colorScale" priority="7">
      <colorScale>
        <cfvo type="min"/>
        <cfvo type="max"/>
        <color rgb="FFFFFFFF"/>
        <color rgb="FF57BB8A"/>
      </colorScale>
    </cfRule>
  </conditionalFormatting>
  <conditionalFormatting sqref="M3:M14">
    <cfRule type="colorScale" priority="8">
      <colorScale>
        <cfvo type="min"/>
        <cfvo type="max"/>
        <color rgb="FFFFFFFF"/>
        <color rgb="FF57BB8A"/>
      </colorScale>
    </cfRule>
  </conditionalFormatting>
  <conditionalFormatting sqref="N3:N14">
    <cfRule type="colorScale" priority="9">
      <colorScale>
        <cfvo type="min"/>
        <cfvo type="max"/>
        <color rgb="FFFFFFFF"/>
        <color rgb="FF57BB8A"/>
      </colorScale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9.38"/>
    <col customWidth="1" min="3" max="3" width="10.63"/>
    <col customWidth="1" min="4" max="4" width="15.63"/>
    <col customWidth="1" min="5" max="5" width="10.13"/>
    <col customWidth="1" min="6" max="6" width="18.88"/>
    <col customWidth="1" min="9" max="9" width="15.63"/>
    <col customWidth="1" min="10" max="10" width="12.63"/>
    <col customWidth="1" min="11" max="11" width="18.88"/>
    <col customWidth="1" min="12" max="12" width="9.38"/>
    <col customWidth="1" min="13" max="13" width="10.63"/>
    <col customWidth="1" min="14" max="14" width="15.63"/>
  </cols>
  <sheetData>
    <row r="1">
      <c r="A1" s="44" t="s">
        <v>77</v>
      </c>
      <c r="E1" s="43"/>
      <c r="F1" s="44" t="s">
        <v>75</v>
      </c>
      <c r="J1" s="43"/>
      <c r="K1" s="44" t="s">
        <v>76</v>
      </c>
    </row>
    <row r="2">
      <c r="A2" s="65"/>
      <c r="B2" s="46" t="s">
        <v>54</v>
      </c>
      <c r="C2" s="46" t="s">
        <v>26</v>
      </c>
      <c r="D2" s="46" t="s">
        <v>78</v>
      </c>
      <c r="E2" s="48"/>
      <c r="F2" s="50"/>
      <c r="G2" s="46" t="s">
        <v>54</v>
      </c>
      <c r="H2" s="46" t="s">
        <v>26</v>
      </c>
      <c r="I2" s="46" t="s">
        <v>78</v>
      </c>
      <c r="J2" s="50"/>
      <c r="K2" s="50"/>
      <c r="L2" s="46" t="s">
        <v>54</v>
      </c>
      <c r="M2" s="46" t="s">
        <v>26</v>
      </c>
      <c r="N2" s="46" t="s">
        <v>78</v>
      </c>
    </row>
    <row r="3">
      <c r="A3" s="66" t="s">
        <v>79</v>
      </c>
      <c r="B3" s="67">
        <v>154.0</v>
      </c>
      <c r="C3" s="68">
        <v>2194.0</v>
      </c>
      <c r="D3" s="69">
        <f t="shared" ref="D3:D7" si="1">C3/$C$8</f>
        <v>0.2260457449</v>
      </c>
      <c r="E3" s="69"/>
      <c r="F3" s="66" t="s">
        <v>79</v>
      </c>
      <c r="G3" s="67">
        <v>146.0</v>
      </c>
      <c r="H3" s="68">
        <v>2094.0</v>
      </c>
      <c r="I3" s="69">
        <f t="shared" ref="I3:I7" si="2">H3/$H$8</f>
        <v>0.2118789841</v>
      </c>
      <c r="J3" s="66"/>
      <c r="K3" s="66" t="s">
        <v>79</v>
      </c>
      <c r="L3" s="67">
        <v>132.0</v>
      </c>
      <c r="M3" s="68">
        <v>1882.0</v>
      </c>
      <c r="N3" s="69">
        <f t="shared" ref="N3:N7" si="3">M3/$M$8</f>
        <v>0.2132940443</v>
      </c>
    </row>
    <row r="4">
      <c r="A4" s="66" t="s">
        <v>80</v>
      </c>
      <c r="B4" s="70">
        <v>62.0</v>
      </c>
      <c r="C4" s="71">
        <v>931.0</v>
      </c>
      <c r="D4" s="69">
        <f t="shared" si="1"/>
        <v>0.09592004945</v>
      </c>
      <c r="E4" s="69"/>
      <c r="F4" s="66" t="s">
        <v>80</v>
      </c>
      <c r="G4" s="67">
        <v>84.0</v>
      </c>
      <c r="H4" s="68">
        <v>1239.0</v>
      </c>
      <c r="I4" s="69">
        <f t="shared" si="2"/>
        <v>0.1253667915</v>
      </c>
      <c r="J4" s="66"/>
      <c r="K4" s="66" t="s">
        <v>80</v>
      </c>
      <c r="L4" s="70">
        <v>56.0</v>
      </c>
      <c r="M4" s="71">
        <v>835.0</v>
      </c>
      <c r="N4" s="69">
        <f t="shared" si="3"/>
        <v>0.09463364878</v>
      </c>
    </row>
    <row r="5">
      <c r="A5" s="66" t="s">
        <v>81</v>
      </c>
      <c r="B5" s="67">
        <v>19.0</v>
      </c>
      <c r="C5" s="68">
        <v>135.0</v>
      </c>
      <c r="D5" s="69">
        <f t="shared" si="1"/>
        <v>0.01390892232</v>
      </c>
      <c r="E5" s="69"/>
      <c r="F5" s="66" t="s">
        <v>81</v>
      </c>
      <c r="G5" s="67">
        <v>24.0</v>
      </c>
      <c r="H5" s="68">
        <v>174.0</v>
      </c>
      <c r="I5" s="69">
        <f t="shared" si="2"/>
        <v>0.01760599008</v>
      </c>
      <c r="J5" s="66"/>
      <c r="K5" s="66" t="s">
        <v>81</v>
      </c>
      <c r="L5" s="67">
        <v>19.0</v>
      </c>
      <c r="M5" s="68">
        <v>133.0</v>
      </c>
      <c r="N5" s="69">
        <f t="shared" si="3"/>
        <v>0.01507338358</v>
      </c>
    </row>
    <row r="6">
      <c r="A6" s="66" t="s">
        <v>82</v>
      </c>
      <c r="B6" s="67">
        <v>252.0</v>
      </c>
      <c r="C6" s="68">
        <v>3682.0</v>
      </c>
      <c r="D6" s="69">
        <f t="shared" si="1"/>
        <v>0.3793529775</v>
      </c>
      <c r="E6" s="69"/>
      <c r="F6" s="66" t="s">
        <v>82</v>
      </c>
      <c r="G6" s="67">
        <v>244.0</v>
      </c>
      <c r="H6" s="68">
        <v>3582.0</v>
      </c>
      <c r="I6" s="69">
        <f t="shared" si="2"/>
        <v>0.3624405545</v>
      </c>
      <c r="J6" s="66"/>
      <c r="K6" s="66" t="s">
        <v>82</v>
      </c>
      <c r="L6" s="67">
        <v>215.0</v>
      </c>
      <c r="M6" s="68">
        <v>3157.5</v>
      </c>
      <c r="N6" s="69">
        <f t="shared" si="3"/>
        <v>0.3578511928</v>
      </c>
    </row>
    <row r="7">
      <c r="A7" s="66" t="s">
        <v>83</v>
      </c>
      <c r="B7" s="70">
        <v>171.0</v>
      </c>
      <c r="C7" s="72">
        <v>2764.0</v>
      </c>
      <c r="D7" s="69">
        <f t="shared" si="1"/>
        <v>0.2847723058</v>
      </c>
      <c r="E7" s="69"/>
      <c r="F7" s="66" t="s">
        <v>83</v>
      </c>
      <c r="G7" s="67">
        <v>174.0</v>
      </c>
      <c r="H7" s="73">
        <v>2794.0</v>
      </c>
      <c r="I7" s="69">
        <f t="shared" si="2"/>
        <v>0.2827076799</v>
      </c>
      <c r="J7" s="66"/>
      <c r="K7" s="66" t="s">
        <v>83</v>
      </c>
      <c r="L7" s="70">
        <v>175.0</v>
      </c>
      <c r="M7" s="72">
        <v>2816.0</v>
      </c>
      <c r="N7" s="69">
        <f t="shared" si="3"/>
        <v>0.3191477305</v>
      </c>
    </row>
    <row r="8">
      <c r="A8" s="43"/>
      <c r="B8" s="67"/>
      <c r="C8" s="74">
        <f>SUM(C2:C7)</f>
        <v>9706</v>
      </c>
      <c r="D8" s="43"/>
      <c r="E8" s="43"/>
      <c r="F8" s="43"/>
      <c r="G8" s="43"/>
      <c r="H8" s="75">
        <f>SUM(H3:H7)</f>
        <v>9883</v>
      </c>
      <c r="I8" s="43"/>
      <c r="J8" s="43"/>
      <c r="K8" s="43"/>
      <c r="L8" s="70"/>
      <c r="M8" s="76">
        <f>SUM(M2:M7)</f>
        <v>8823.5</v>
      </c>
      <c r="N8" s="43"/>
    </row>
    <row r="9">
      <c r="I9" s="77"/>
      <c r="L9" s="78"/>
      <c r="M9" s="79"/>
    </row>
    <row r="10">
      <c r="L10" s="52"/>
      <c r="M10" s="53"/>
    </row>
  </sheetData>
  <mergeCells count="3">
    <mergeCell ref="A1:D1"/>
    <mergeCell ref="F1:I1"/>
    <mergeCell ref="K1:N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38"/>
    <col customWidth="1" min="3" max="3" width="10.63"/>
    <col customWidth="1" min="4" max="4" width="13.63"/>
    <col customWidth="1" min="7" max="7" width="9.38"/>
    <col customWidth="1" min="8" max="8" width="10.63"/>
    <col customWidth="1" min="9" max="9" width="13.63"/>
    <col customWidth="1" min="12" max="12" width="9.38"/>
    <col customWidth="1" min="13" max="13" width="10.63"/>
    <col customWidth="1" min="14" max="14" width="13.63"/>
  </cols>
  <sheetData>
    <row r="1">
      <c r="A1" s="44" t="s">
        <v>77</v>
      </c>
      <c r="E1" s="43"/>
      <c r="F1" s="44" t="s">
        <v>75</v>
      </c>
      <c r="J1" s="80"/>
      <c r="K1" s="44" t="s">
        <v>76</v>
      </c>
      <c r="O1" s="43"/>
      <c r="P1" s="43"/>
      <c r="Q1" s="43"/>
      <c r="R1" s="43"/>
      <c r="S1" s="43"/>
      <c r="T1" s="43"/>
      <c r="U1" s="43"/>
      <c r="V1" s="43"/>
      <c r="W1" s="43"/>
    </row>
    <row r="2">
      <c r="A2" s="48"/>
      <c r="B2" s="46" t="s">
        <v>54</v>
      </c>
      <c r="C2" s="81" t="s">
        <v>26</v>
      </c>
      <c r="D2" s="46" t="s">
        <v>84</v>
      </c>
      <c r="E2" s="43"/>
      <c r="F2" s="48"/>
      <c r="G2" s="46" t="s">
        <v>54</v>
      </c>
      <c r="H2" s="81" t="s">
        <v>26</v>
      </c>
      <c r="I2" s="46" t="s">
        <v>84</v>
      </c>
      <c r="J2" s="43"/>
      <c r="K2" s="48"/>
      <c r="L2" s="46" t="s">
        <v>54</v>
      </c>
      <c r="M2" s="81" t="s">
        <v>26</v>
      </c>
      <c r="N2" s="46" t="s">
        <v>84</v>
      </c>
      <c r="O2" s="43"/>
      <c r="P2" s="43"/>
      <c r="Q2" s="43"/>
      <c r="R2" s="43"/>
      <c r="S2" s="43"/>
      <c r="T2" s="43"/>
      <c r="U2" s="43"/>
      <c r="V2" s="43"/>
      <c r="W2" s="43"/>
    </row>
    <row r="3">
      <c r="A3" s="46" t="s">
        <v>85</v>
      </c>
      <c r="B3" s="48">
        <v>78.0</v>
      </c>
      <c r="C3" s="82">
        <v>866.0</v>
      </c>
      <c r="D3" s="69">
        <f t="shared" ref="D3:D6" si="1">C3/$C$7</f>
        <v>0.3053058347</v>
      </c>
      <c r="E3" s="43"/>
      <c r="F3" s="46" t="s">
        <v>85</v>
      </c>
      <c r="G3" s="67">
        <v>54.0</v>
      </c>
      <c r="H3" s="68">
        <v>608.0</v>
      </c>
      <c r="I3" s="69">
        <f t="shared" ref="I3:I6" si="2">H3/$H$7</f>
        <v>0.3045329326</v>
      </c>
      <c r="J3" s="43"/>
      <c r="K3" s="46" t="s">
        <v>85</v>
      </c>
      <c r="L3" s="67">
        <v>42.0</v>
      </c>
      <c r="M3" s="68">
        <v>476.0</v>
      </c>
      <c r="N3" s="69">
        <f t="shared" ref="N3:N6" si="3">M3/$M$7</f>
        <v>0.1650199341</v>
      </c>
      <c r="O3" s="43"/>
      <c r="P3" s="43"/>
      <c r="Q3" s="43"/>
      <c r="R3" s="43"/>
      <c r="S3" s="43"/>
      <c r="T3" s="43"/>
      <c r="U3" s="43"/>
      <c r="V3" s="43"/>
      <c r="W3" s="43"/>
    </row>
    <row r="4">
      <c r="A4" s="46" t="s">
        <v>86</v>
      </c>
      <c r="B4" s="48">
        <v>82.0</v>
      </c>
      <c r="C4" s="82">
        <v>885.0</v>
      </c>
      <c r="D4" s="69">
        <f t="shared" si="1"/>
        <v>0.3120042306</v>
      </c>
      <c r="E4" s="43"/>
      <c r="F4" s="46" t="s">
        <v>86</v>
      </c>
      <c r="G4" s="67">
        <v>54.0</v>
      </c>
      <c r="H4" s="68">
        <v>577.0</v>
      </c>
      <c r="I4" s="69">
        <f t="shared" si="2"/>
        <v>0.2890057601</v>
      </c>
      <c r="J4" s="43"/>
      <c r="K4" s="46" t="s">
        <v>86</v>
      </c>
      <c r="L4" s="67">
        <v>105.0</v>
      </c>
      <c r="M4" s="68">
        <v>1126.5</v>
      </c>
      <c r="N4" s="69">
        <f t="shared" si="3"/>
        <v>0.3905356214</v>
      </c>
      <c r="O4" s="43"/>
      <c r="P4" s="43"/>
      <c r="Q4" s="43"/>
      <c r="R4" s="43"/>
      <c r="S4" s="43"/>
      <c r="T4" s="43"/>
      <c r="U4" s="43"/>
      <c r="V4" s="43"/>
      <c r="W4" s="43"/>
    </row>
    <row r="5">
      <c r="A5" s="46" t="s">
        <v>87</v>
      </c>
      <c r="B5" s="48">
        <v>73.0</v>
      </c>
      <c r="C5" s="82">
        <v>590.0</v>
      </c>
      <c r="D5" s="69">
        <f t="shared" si="1"/>
        <v>0.2080028204</v>
      </c>
      <c r="E5" s="43"/>
      <c r="F5" s="46" t="s">
        <v>87</v>
      </c>
      <c r="G5" s="67">
        <v>52.0</v>
      </c>
      <c r="H5" s="68">
        <v>418.0</v>
      </c>
      <c r="I5" s="69">
        <f t="shared" si="2"/>
        <v>0.2093663912</v>
      </c>
      <c r="J5" s="43"/>
      <c r="K5" s="46" t="s">
        <v>87</v>
      </c>
      <c r="L5" s="67">
        <v>93.0</v>
      </c>
      <c r="M5" s="68">
        <v>754.0</v>
      </c>
      <c r="N5" s="69">
        <f t="shared" si="3"/>
        <v>0.2613971226</v>
      </c>
      <c r="O5" s="43"/>
      <c r="P5" s="43"/>
      <c r="Q5" s="43"/>
      <c r="R5" s="43"/>
      <c r="S5" s="43"/>
      <c r="T5" s="43"/>
      <c r="U5" s="43"/>
      <c r="V5" s="43"/>
      <c r="W5" s="43"/>
    </row>
    <row r="6">
      <c r="A6" s="46" t="s">
        <v>88</v>
      </c>
      <c r="B6" s="48">
        <v>47.0</v>
      </c>
      <c r="C6" s="83">
        <v>495.5</v>
      </c>
      <c r="D6" s="69">
        <f t="shared" si="1"/>
        <v>0.1746871144</v>
      </c>
      <c r="E6" s="43"/>
      <c r="F6" s="46" t="s">
        <v>88</v>
      </c>
      <c r="G6" s="67">
        <v>40.0</v>
      </c>
      <c r="H6" s="73">
        <v>393.5</v>
      </c>
      <c r="I6" s="69">
        <f t="shared" si="2"/>
        <v>0.1970949161</v>
      </c>
      <c r="J6" s="43"/>
      <c r="K6" s="46" t="s">
        <v>88</v>
      </c>
      <c r="L6" s="67">
        <v>50.0</v>
      </c>
      <c r="M6" s="73">
        <v>528.0</v>
      </c>
      <c r="N6" s="69">
        <f t="shared" si="3"/>
        <v>0.1830473219</v>
      </c>
      <c r="O6" s="43"/>
      <c r="P6" s="43"/>
      <c r="Q6" s="43"/>
      <c r="R6" s="43"/>
      <c r="S6" s="43"/>
      <c r="T6" s="43"/>
      <c r="U6" s="43"/>
      <c r="V6" s="43"/>
      <c r="W6" s="43"/>
    </row>
    <row r="7">
      <c r="A7" s="43"/>
      <c r="B7" s="43"/>
      <c r="C7" s="75">
        <f>SUM(C2:C6)</f>
        <v>2836.5</v>
      </c>
      <c r="D7" s="43"/>
      <c r="E7" s="43"/>
      <c r="F7" s="43"/>
      <c r="G7" s="43"/>
      <c r="H7" s="75">
        <f>SUM(H3:H6)</f>
        <v>1996.5</v>
      </c>
      <c r="I7" s="43"/>
      <c r="J7" s="43"/>
      <c r="K7" s="43"/>
      <c r="L7" s="43"/>
      <c r="M7" s="75">
        <f>SUM(M2:M6)</f>
        <v>2884.5</v>
      </c>
      <c r="N7" s="43"/>
      <c r="O7" s="43"/>
      <c r="P7" s="43"/>
      <c r="Q7" s="43"/>
      <c r="R7" s="43"/>
      <c r="S7" s="43"/>
      <c r="T7" s="43"/>
      <c r="U7" s="43"/>
      <c r="V7" s="43"/>
      <c r="W7" s="43"/>
    </row>
    <row r="8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</row>
    <row r="9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</row>
    <row r="10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</row>
    <row r="11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</row>
    <row r="12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</row>
    <row r="13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</row>
    <row r="14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</row>
    <row r="15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</row>
    <row r="16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</row>
    <row r="17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</row>
    <row r="18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</row>
    <row r="19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</row>
    <row r="20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</row>
    <row r="2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</row>
    <row r="22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</row>
    <row r="23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</row>
    <row r="24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</row>
    <row r="25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</row>
    <row r="26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</row>
    <row r="27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</row>
    <row r="28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</row>
    <row r="29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</row>
    <row r="30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</row>
    <row r="3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</row>
    <row r="32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</row>
    <row r="33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</row>
    <row r="34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</row>
    <row r="35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</row>
    <row r="36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</row>
    <row r="37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</row>
    <row r="38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</row>
    <row r="39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</row>
    <row r="40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</row>
    <row r="4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</row>
    <row r="42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</row>
    <row r="43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</row>
    <row r="44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</row>
    <row r="45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</row>
    <row r="46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</row>
    <row r="47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</row>
    <row r="48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</row>
    <row r="49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</row>
    <row r="50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</row>
    <row r="5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</row>
    <row r="52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</row>
    <row r="53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</row>
    <row r="54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</row>
    <row r="55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</row>
    <row r="56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</row>
    <row r="57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</row>
    <row r="58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</row>
    <row r="59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</row>
    <row r="60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</row>
    <row r="6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</row>
    <row r="62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</row>
    <row r="63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</row>
    <row r="64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</row>
    <row r="65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</row>
    <row r="66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</row>
    <row r="67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</row>
    <row r="68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</row>
    <row r="69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</row>
    <row r="70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</row>
    <row r="7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</row>
    <row r="72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</row>
    <row r="73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</row>
    <row r="74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</row>
    <row r="75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</row>
    <row r="76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</row>
    <row r="77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</row>
    <row r="78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</row>
    <row r="79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</row>
    <row r="80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</row>
    <row r="8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</row>
    <row r="82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</row>
    <row r="83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</row>
    <row r="84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</row>
    <row r="85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</row>
    <row r="86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</row>
    <row r="87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</row>
    <row r="88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</row>
    <row r="89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</row>
    <row r="90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</row>
    <row r="9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</row>
    <row r="92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</row>
    <row r="93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</row>
    <row r="94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</row>
    <row r="95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</row>
    <row r="96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</row>
    <row r="97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</row>
    <row r="98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</row>
    <row r="99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</row>
    <row r="100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</row>
    <row r="10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</row>
    <row r="102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</row>
    <row r="103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</row>
    <row r="104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</row>
    <row r="105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</row>
    <row r="106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</row>
    <row r="107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</row>
    <row r="108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</row>
    <row r="109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</row>
    <row r="110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</row>
    <row r="11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</row>
    <row r="112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</row>
    <row r="113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</row>
    <row r="114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</row>
    <row r="115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</row>
    <row r="116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</row>
    <row r="117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</row>
    <row r="118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</row>
    <row r="119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</row>
    <row r="120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</row>
    <row r="12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</row>
    <row r="122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</row>
    <row r="123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</row>
    <row r="124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</row>
    <row r="125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</row>
    <row r="126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</row>
    <row r="127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</row>
    <row r="128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</row>
    <row r="129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</row>
    <row r="130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</row>
    <row r="13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</row>
    <row r="132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</row>
    <row r="133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</row>
    <row r="134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</row>
    <row r="135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</row>
    <row r="136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</row>
    <row r="137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</row>
    <row r="138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</row>
    <row r="139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</row>
    <row r="140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</row>
    <row r="14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</row>
    <row r="142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</row>
    <row r="143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</row>
    <row r="144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</row>
    <row r="145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</row>
    <row r="146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</row>
    <row r="147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</row>
    <row r="148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</row>
    <row r="149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</row>
    <row r="150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</row>
    <row r="15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</row>
    <row r="152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</row>
    <row r="153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</row>
    <row r="154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</row>
    <row r="155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</row>
    <row r="156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</row>
    <row r="157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</row>
    <row r="158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</row>
    <row r="159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</row>
    <row r="160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</row>
    <row r="16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</row>
    <row r="162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</row>
    <row r="163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</row>
    <row r="164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</row>
    <row r="165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</row>
    <row r="166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</row>
    <row r="167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</row>
    <row r="168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</row>
    <row r="169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</row>
    <row r="170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</row>
    <row r="17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</row>
    <row r="172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</row>
    <row r="173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</row>
    <row r="174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</row>
    <row r="175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</row>
    <row r="176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</row>
    <row r="177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</row>
    <row r="178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</row>
    <row r="179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</row>
    <row r="180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</row>
    <row r="18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</row>
    <row r="182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</row>
    <row r="183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</row>
    <row r="184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</row>
    <row r="185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</row>
    <row r="186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</row>
    <row r="187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</row>
    <row r="188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</row>
    <row r="189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</row>
    <row r="190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</row>
    <row r="19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</row>
    <row r="192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</row>
    <row r="193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</row>
    <row r="194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</row>
    <row r="195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</row>
    <row r="196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</row>
    <row r="197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</row>
    <row r="198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</row>
    <row r="199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</row>
    <row r="200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</row>
    <row r="20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</row>
    <row r="202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</row>
    <row r="203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</row>
    <row r="204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</row>
    <row r="205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</row>
    <row r="206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</row>
    <row r="207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</row>
    <row r="208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</row>
    <row r="209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</row>
    <row r="210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</row>
    <row r="21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</row>
    <row r="212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</row>
    <row r="213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</row>
    <row r="214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</row>
    <row r="215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</row>
    <row r="216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</row>
    <row r="217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</row>
    <row r="218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</row>
    <row r="219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</row>
    <row r="220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</row>
    <row r="22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</row>
    <row r="222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</row>
    <row r="223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</row>
    <row r="224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</row>
    <row r="225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</row>
    <row r="226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</row>
    <row r="227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</row>
    <row r="228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</row>
    <row r="229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</row>
    <row r="230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</row>
    <row r="23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</row>
    <row r="232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</row>
    <row r="233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</row>
    <row r="234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</row>
    <row r="235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</row>
    <row r="236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</row>
    <row r="237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</row>
    <row r="238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</row>
    <row r="239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</row>
    <row r="240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</row>
    <row r="24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</row>
    <row r="242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</row>
    <row r="243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</row>
    <row r="244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</row>
    <row r="245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</row>
    <row r="246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</row>
    <row r="247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</row>
    <row r="248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</row>
    <row r="249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</row>
    <row r="250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</row>
    <row r="25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</row>
    <row r="252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</row>
    <row r="253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</row>
    <row r="254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</row>
    <row r="25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</row>
    <row r="256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</row>
    <row r="257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</row>
    <row r="258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</row>
    <row r="259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</row>
    <row r="260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</row>
    <row r="26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</row>
    <row r="262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</row>
    <row r="263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</row>
    <row r="264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</row>
    <row r="265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</row>
    <row r="266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</row>
    <row r="267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</row>
    <row r="268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</row>
    <row r="269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</row>
    <row r="270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</row>
    <row r="27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</row>
    <row r="272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</row>
    <row r="273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</row>
    <row r="274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</row>
    <row r="275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</row>
    <row r="276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</row>
    <row r="277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</row>
    <row r="278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</row>
    <row r="279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</row>
    <row r="280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</row>
    <row r="28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</row>
    <row r="282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</row>
    <row r="283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</row>
    <row r="284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</row>
    <row r="285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</row>
    <row r="286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</row>
    <row r="287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</row>
    <row r="288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</row>
    <row r="289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</row>
    <row r="290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</row>
    <row r="29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</row>
    <row r="292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</row>
    <row r="293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</row>
    <row r="294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</row>
    <row r="295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</row>
    <row r="296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</row>
    <row r="297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</row>
    <row r="298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</row>
    <row r="299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</row>
    <row r="300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</row>
    <row r="30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</row>
    <row r="302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</row>
    <row r="303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</row>
    <row r="304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</row>
    <row r="305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</row>
    <row r="306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</row>
    <row r="307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</row>
    <row r="308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</row>
    <row r="309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</row>
    <row r="310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</row>
    <row r="31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</row>
    <row r="312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</row>
    <row r="313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</row>
    <row r="314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</row>
    <row r="315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</row>
    <row r="316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</row>
    <row r="317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</row>
    <row r="318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</row>
    <row r="319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</row>
    <row r="320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</row>
    <row r="32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</row>
    <row r="322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</row>
    <row r="323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</row>
    <row r="324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</row>
    <row r="325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</row>
    <row r="326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</row>
    <row r="327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</row>
    <row r="328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</row>
    <row r="329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</row>
    <row r="330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</row>
    <row r="33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</row>
    <row r="332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</row>
    <row r="333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</row>
    <row r="334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</row>
    <row r="335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</row>
    <row r="336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</row>
    <row r="337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</row>
    <row r="338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</row>
    <row r="339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</row>
    <row r="340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</row>
    <row r="34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</row>
    <row r="342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</row>
    <row r="343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</row>
    <row r="344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</row>
    <row r="345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</row>
    <row r="346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</row>
    <row r="347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</row>
    <row r="348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</row>
    <row r="349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</row>
    <row r="350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</row>
    <row r="351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</row>
    <row r="352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</row>
    <row r="353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</row>
    <row r="354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</row>
    <row r="355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</row>
    <row r="356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</row>
    <row r="357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</row>
    <row r="358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</row>
    <row r="359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</row>
    <row r="360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</row>
    <row r="361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</row>
    <row r="362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</row>
    <row r="363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</row>
    <row r="364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</row>
    <row r="365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</row>
    <row r="366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</row>
    <row r="367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</row>
    <row r="368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</row>
    <row r="369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</row>
    <row r="370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</row>
    <row r="37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</row>
    <row r="372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</row>
    <row r="373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</row>
    <row r="374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</row>
    <row r="375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</row>
    <row r="376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</row>
    <row r="377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</row>
    <row r="378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</row>
    <row r="379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</row>
    <row r="380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</row>
    <row r="381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</row>
    <row r="382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</row>
    <row r="383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</row>
    <row r="384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</row>
    <row r="385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</row>
    <row r="386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</row>
    <row r="387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</row>
    <row r="388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</row>
    <row r="389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</row>
    <row r="390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</row>
    <row r="391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</row>
    <row r="392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</row>
    <row r="393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</row>
    <row r="394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</row>
    <row r="395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</row>
    <row r="396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</row>
    <row r="397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</row>
    <row r="398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</row>
    <row r="399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</row>
    <row r="400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</row>
    <row r="401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</row>
    <row r="402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</row>
    <row r="403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</row>
    <row r="404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</row>
    <row r="405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</row>
    <row r="406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</row>
    <row r="407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</row>
    <row r="408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</row>
    <row r="409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</row>
    <row r="410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</row>
    <row r="411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</row>
    <row r="412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</row>
    <row r="413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</row>
    <row r="414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</row>
    <row r="415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</row>
    <row r="416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</row>
    <row r="417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</row>
    <row r="418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</row>
    <row r="419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</row>
    <row r="420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</row>
    <row r="421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</row>
    <row r="422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</row>
    <row r="423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</row>
    <row r="424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</row>
    <row r="425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</row>
    <row r="426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</row>
    <row r="427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</row>
    <row r="428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</row>
    <row r="429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</row>
    <row r="430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</row>
    <row r="431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</row>
    <row r="432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</row>
    <row r="433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</row>
    <row r="434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</row>
    <row r="435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</row>
    <row r="436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</row>
    <row r="437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</row>
    <row r="438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</row>
    <row r="439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</row>
    <row r="440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</row>
    <row r="441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</row>
    <row r="442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</row>
    <row r="443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</row>
    <row r="444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</row>
    <row r="445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</row>
    <row r="446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</row>
    <row r="447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</row>
    <row r="448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</row>
    <row r="449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</row>
    <row r="450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</row>
    <row r="451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</row>
    <row r="452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</row>
    <row r="453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</row>
    <row r="454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</row>
    <row r="455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</row>
    <row r="456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</row>
    <row r="457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</row>
    <row r="458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</row>
    <row r="459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</row>
    <row r="460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</row>
    <row r="461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</row>
    <row r="462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</row>
    <row r="463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</row>
    <row r="464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</row>
    <row r="465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</row>
    <row r="466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</row>
    <row r="467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</row>
    <row r="468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</row>
    <row r="469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</row>
    <row r="470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</row>
    <row r="471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</row>
    <row r="472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</row>
    <row r="473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</row>
    <row r="474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</row>
    <row r="475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</row>
    <row r="476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</row>
    <row r="477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</row>
    <row r="478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</row>
    <row r="479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</row>
    <row r="480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</row>
    <row r="481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</row>
    <row r="482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</row>
    <row r="483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</row>
    <row r="484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</row>
    <row r="485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</row>
    <row r="486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</row>
    <row r="487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</row>
    <row r="488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</row>
    <row r="489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</row>
    <row r="490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</row>
    <row r="491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</row>
    <row r="492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</row>
    <row r="493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</row>
    <row r="494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</row>
    <row r="495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</row>
    <row r="496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</row>
    <row r="497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</row>
    <row r="498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</row>
    <row r="499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</row>
    <row r="500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</row>
    <row r="501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</row>
    <row r="502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</row>
    <row r="503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</row>
    <row r="504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</row>
    <row r="505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</row>
    <row r="506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</row>
    <row r="507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</row>
    <row r="508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</row>
    <row r="509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</row>
    <row r="510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</row>
    <row r="511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</row>
    <row r="512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</row>
    <row r="513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</row>
    <row r="514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</row>
    <row r="515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</row>
    <row r="516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</row>
    <row r="517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</row>
    <row r="518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</row>
    <row r="519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</row>
    <row r="520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</row>
    <row r="521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</row>
    <row r="522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</row>
    <row r="523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</row>
    <row r="524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</row>
    <row r="525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</row>
    <row r="526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</row>
    <row r="527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</row>
    <row r="528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</row>
    <row r="529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</row>
    <row r="530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</row>
    <row r="531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</row>
    <row r="532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</row>
    <row r="533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</row>
    <row r="534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</row>
    <row r="535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</row>
    <row r="536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</row>
    <row r="537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</row>
    <row r="538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</row>
    <row r="539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</row>
    <row r="540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</row>
    <row r="541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</row>
    <row r="542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</row>
    <row r="543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</row>
    <row r="544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</row>
    <row r="545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</row>
    <row r="546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</row>
    <row r="547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</row>
    <row r="548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</row>
    <row r="549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</row>
    <row r="550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</row>
    <row r="551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</row>
    <row r="552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</row>
    <row r="553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</row>
    <row r="554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</row>
    <row r="555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</row>
    <row r="556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</row>
    <row r="557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</row>
    <row r="558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</row>
    <row r="559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</row>
    <row r="560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</row>
    <row r="561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</row>
    <row r="562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</row>
    <row r="563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</row>
    <row r="564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</row>
    <row r="565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</row>
    <row r="566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</row>
    <row r="567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</row>
    <row r="568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</row>
    <row r="569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</row>
    <row r="570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</row>
    <row r="571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</row>
    <row r="572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</row>
    <row r="573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</row>
    <row r="574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</row>
    <row r="575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</row>
    <row r="576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</row>
    <row r="577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</row>
    <row r="578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</row>
    <row r="579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</row>
    <row r="580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</row>
    <row r="581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</row>
    <row r="582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</row>
    <row r="583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</row>
    <row r="584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</row>
    <row r="585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</row>
    <row r="586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</row>
    <row r="587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</row>
    <row r="588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</row>
    <row r="589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</row>
    <row r="590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</row>
    <row r="591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</row>
    <row r="592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</row>
    <row r="593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</row>
    <row r="594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</row>
    <row r="595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</row>
    <row r="596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</row>
    <row r="597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</row>
    <row r="598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</row>
    <row r="599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</row>
    <row r="600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</row>
    <row r="601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</row>
    <row r="602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</row>
    <row r="603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</row>
    <row r="604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</row>
    <row r="605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</row>
    <row r="606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</row>
    <row r="607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</row>
    <row r="608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</row>
    <row r="609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</row>
    <row r="610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</row>
    <row r="611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</row>
    <row r="612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</row>
    <row r="613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</row>
    <row r="614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</row>
    <row r="615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</row>
    <row r="616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</row>
    <row r="617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</row>
    <row r="618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</row>
    <row r="619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</row>
    <row r="620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</row>
    <row r="621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</row>
    <row r="622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</row>
    <row r="623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</row>
    <row r="624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</row>
    <row r="625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</row>
    <row r="626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</row>
    <row r="627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</row>
    <row r="628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</row>
    <row r="629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</row>
    <row r="630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</row>
    <row r="631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</row>
    <row r="632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</row>
    <row r="633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</row>
    <row r="634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</row>
    <row r="635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</row>
    <row r="636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</row>
    <row r="637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</row>
    <row r="638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</row>
    <row r="639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</row>
    <row r="640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</row>
    <row r="641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</row>
    <row r="642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</row>
    <row r="643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</row>
    <row r="644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</row>
    <row r="645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</row>
    <row r="646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</row>
    <row r="647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</row>
    <row r="648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</row>
    <row r="649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</row>
    <row r="650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</row>
    <row r="651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</row>
    <row r="652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</row>
    <row r="653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</row>
    <row r="654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</row>
    <row r="655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</row>
    <row r="656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</row>
    <row r="657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</row>
    <row r="658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</row>
    <row r="659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</row>
    <row r="660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</row>
    <row r="661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</row>
    <row r="662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</row>
    <row r="663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</row>
    <row r="664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</row>
    <row r="665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</row>
    <row r="666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</row>
    <row r="667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</row>
    <row r="668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</row>
    <row r="669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</row>
    <row r="670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</row>
    <row r="671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</row>
    <row r="672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</row>
    <row r="673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</row>
    <row r="674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</row>
    <row r="675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</row>
    <row r="676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</row>
    <row r="677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</row>
    <row r="678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</row>
    <row r="679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</row>
    <row r="680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</row>
    <row r="681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</row>
    <row r="682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</row>
    <row r="683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</row>
    <row r="684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</row>
    <row r="685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</row>
    <row r="686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</row>
    <row r="687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</row>
    <row r="688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</row>
    <row r="689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</row>
    <row r="690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</row>
    <row r="69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</row>
    <row r="692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</row>
    <row r="693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</row>
    <row r="694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</row>
    <row r="695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</row>
    <row r="696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</row>
    <row r="697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</row>
    <row r="698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</row>
    <row r="699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</row>
    <row r="700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</row>
    <row r="70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</row>
    <row r="702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</row>
    <row r="703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</row>
    <row r="704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</row>
    <row r="705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</row>
    <row r="706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</row>
    <row r="707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</row>
    <row r="708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</row>
    <row r="709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</row>
    <row r="710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</row>
    <row r="71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</row>
    <row r="712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</row>
    <row r="713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</row>
    <row r="714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</row>
    <row r="715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</row>
    <row r="716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</row>
    <row r="717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</row>
    <row r="718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</row>
    <row r="719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</row>
    <row r="720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</row>
    <row r="721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</row>
    <row r="722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</row>
    <row r="723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</row>
    <row r="724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</row>
    <row r="725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</row>
    <row r="726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</row>
    <row r="727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</row>
    <row r="728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</row>
    <row r="729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</row>
    <row r="730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</row>
    <row r="731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</row>
    <row r="732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</row>
    <row r="733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</row>
    <row r="734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</row>
    <row r="735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</row>
    <row r="736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</row>
    <row r="737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</row>
    <row r="738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</row>
    <row r="739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</row>
    <row r="740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</row>
    <row r="741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</row>
    <row r="742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</row>
    <row r="743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</row>
    <row r="744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</row>
    <row r="745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</row>
    <row r="746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</row>
    <row r="747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</row>
    <row r="748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</row>
    <row r="749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</row>
    <row r="750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</row>
    <row r="751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</row>
    <row r="752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</row>
    <row r="753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</row>
    <row r="754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</row>
    <row r="755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</row>
    <row r="756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</row>
    <row r="757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</row>
    <row r="758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</row>
    <row r="759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</row>
    <row r="760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</row>
    <row r="761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</row>
    <row r="762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</row>
    <row r="763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</row>
    <row r="764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</row>
    <row r="765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</row>
    <row r="766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</row>
    <row r="767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</row>
    <row r="768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</row>
    <row r="769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</row>
    <row r="770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</row>
    <row r="771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</row>
    <row r="772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</row>
    <row r="773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</row>
    <row r="774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</row>
    <row r="775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</row>
    <row r="776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</row>
    <row r="777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</row>
    <row r="778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</row>
    <row r="779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</row>
    <row r="780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</row>
    <row r="781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</row>
    <row r="782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</row>
    <row r="783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</row>
    <row r="784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</row>
    <row r="785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</row>
    <row r="786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</row>
    <row r="787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</row>
    <row r="788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</row>
    <row r="789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</row>
    <row r="790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</row>
    <row r="791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</row>
    <row r="792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</row>
    <row r="793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</row>
    <row r="794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</row>
    <row r="795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</row>
    <row r="796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</row>
    <row r="797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</row>
    <row r="798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</row>
    <row r="799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</row>
    <row r="800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</row>
    <row r="801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</row>
    <row r="802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</row>
    <row r="803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</row>
    <row r="804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</row>
    <row r="805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</row>
    <row r="806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</row>
    <row r="807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</row>
    <row r="808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</row>
    <row r="809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</row>
    <row r="810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</row>
    <row r="811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</row>
    <row r="812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</row>
    <row r="813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</row>
    <row r="814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</row>
    <row r="815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</row>
    <row r="816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</row>
    <row r="817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</row>
    <row r="818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</row>
    <row r="819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</row>
    <row r="820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</row>
    <row r="821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</row>
    <row r="822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</row>
    <row r="823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</row>
    <row r="824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</row>
    <row r="825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</row>
    <row r="826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</row>
    <row r="827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</row>
    <row r="828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</row>
    <row r="829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</row>
    <row r="830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</row>
    <row r="831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</row>
    <row r="832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</row>
    <row r="833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</row>
    <row r="834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</row>
    <row r="835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</row>
    <row r="836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</row>
    <row r="837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</row>
    <row r="838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</row>
    <row r="839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</row>
    <row r="840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</row>
    <row r="841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</row>
    <row r="842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</row>
    <row r="843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</row>
    <row r="844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</row>
    <row r="845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</row>
    <row r="846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</row>
    <row r="847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</row>
    <row r="848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</row>
    <row r="849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</row>
    <row r="850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</row>
    <row r="851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</row>
    <row r="852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</row>
    <row r="853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</row>
    <row r="854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</row>
    <row r="855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</row>
    <row r="856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</row>
    <row r="857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</row>
    <row r="858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</row>
    <row r="859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</row>
    <row r="860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</row>
    <row r="86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</row>
    <row r="862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</row>
    <row r="863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</row>
    <row r="864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</row>
    <row r="865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</row>
    <row r="866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</row>
    <row r="867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</row>
    <row r="868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</row>
    <row r="869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</row>
    <row r="870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</row>
    <row r="87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</row>
    <row r="872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</row>
    <row r="873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</row>
    <row r="874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</row>
    <row r="875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</row>
    <row r="876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</row>
    <row r="877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</row>
    <row r="878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</row>
    <row r="879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</row>
    <row r="880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</row>
    <row r="881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</row>
    <row r="882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</row>
    <row r="883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</row>
    <row r="884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</row>
    <row r="885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</row>
    <row r="886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</row>
    <row r="887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</row>
    <row r="888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</row>
    <row r="889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</row>
    <row r="890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</row>
    <row r="891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</row>
    <row r="892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</row>
    <row r="893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</row>
    <row r="894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</row>
    <row r="895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</row>
    <row r="896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</row>
    <row r="897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</row>
    <row r="898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</row>
    <row r="899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</row>
    <row r="900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</row>
    <row r="901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</row>
    <row r="902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</row>
    <row r="903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</row>
    <row r="904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</row>
    <row r="905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</row>
    <row r="906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</row>
    <row r="907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</row>
    <row r="908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</row>
    <row r="909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</row>
    <row r="910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</row>
    <row r="911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</row>
    <row r="912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</row>
    <row r="913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</row>
    <row r="914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</row>
    <row r="915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</row>
    <row r="916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</row>
    <row r="917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</row>
    <row r="918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</row>
    <row r="919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</row>
    <row r="920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</row>
    <row r="921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</row>
    <row r="922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</row>
    <row r="923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</row>
    <row r="924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</row>
    <row r="925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</row>
    <row r="926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</row>
    <row r="927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</row>
    <row r="928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</row>
    <row r="929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</row>
    <row r="930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</row>
    <row r="931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</row>
    <row r="932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</row>
    <row r="933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</row>
    <row r="934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</row>
    <row r="935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</row>
    <row r="936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</row>
    <row r="937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</row>
    <row r="938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</row>
    <row r="939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</row>
    <row r="940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</row>
    <row r="941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</row>
    <row r="942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</row>
    <row r="943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</row>
    <row r="944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</row>
    <row r="945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</row>
    <row r="946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</row>
    <row r="947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</row>
    <row r="948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</row>
    <row r="949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</row>
    <row r="950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</row>
    <row r="951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</row>
    <row r="952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</row>
    <row r="953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</row>
    <row r="954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</row>
    <row r="955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</row>
    <row r="956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</row>
    <row r="957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</row>
    <row r="958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</row>
    <row r="959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</row>
    <row r="960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</row>
    <row r="961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</row>
    <row r="962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</row>
    <row r="963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</row>
    <row r="964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</row>
    <row r="965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</row>
    <row r="966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</row>
    <row r="967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</row>
    <row r="968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</row>
    <row r="969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</row>
    <row r="970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</row>
    <row r="97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</row>
    <row r="972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</row>
    <row r="973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</row>
    <row r="974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</row>
    <row r="975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</row>
    <row r="976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</row>
    <row r="977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</row>
    <row r="978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</row>
    <row r="979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</row>
    <row r="980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</row>
    <row r="981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</row>
    <row r="982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</row>
    <row r="983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</row>
    <row r="984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</row>
    <row r="985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</row>
    <row r="986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</row>
    <row r="987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</row>
    <row r="988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</row>
    <row r="989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</row>
    <row r="990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</row>
    <row r="991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</row>
    <row r="992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</row>
    <row r="993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</row>
    <row r="994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</row>
    <row r="995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</row>
    <row r="996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</row>
    <row r="997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</row>
    <row r="998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</row>
    <row r="999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</row>
  </sheetData>
  <mergeCells count="3">
    <mergeCell ref="A1:D1"/>
    <mergeCell ref="F1:I1"/>
    <mergeCell ref="K1:N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38"/>
    <col customWidth="1" min="3" max="3" width="10.63"/>
    <col customWidth="1" min="4" max="4" width="13.0"/>
    <col customWidth="1" min="7" max="7" width="9.38"/>
    <col customWidth="1" min="8" max="8" width="10.63"/>
    <col customWidth="1" min="9" max="9" width="13.0"/>
    <col customWidth="1" min="12" max="12" width="9.38"/>
    <col customWidth="1" min="13" max="13" width="10.63"/>
    <col customWidth="1" min="14" max="14" width="13.0"/>
  </cols>
  <sheetData>
    <row r="1">
      <c r="B1" s="44" t="s">
        <v>77</v>
      </c>
      <c r="F1" s="84" t="s">
        <v>75</v>
      </c>
      <c r="K1" s="84" t="s">
        <v>76</v>
      </c>
    </row>
    <row r="2">
      <c r="B2" s="46" t="s">
        <v>54</v>
      </c>
      <c r="C2" s="81" t="s">
        <v>26</v>
      </c>
      <c r="D2" s="46" t="s">
        <v>89</v>
      </c>
      <c r="G2" s="46" t="s">
        <v>54</v>
      </c>
      <c r="H2" s="81" t="s">
        <v>26</v>
      </c>
      <c r="I2" s="46" t="s">
        <v>89</v>
      </c>
      <c r="L2" s="46" t="s">
        <v>54</v>
      </c>
      <c r="M2" s="81" t="s">
        <v>26</v>
      </c>
      <c r="N2" s="46" t="s">
        <v>89</v>
      </c>
    </row>
    <row r="3">
      <c r="A3" s="85" t="s">
        <v>90</v>
      </c>
      <c r="B3" s="52">
        <v>37.0</v>
      </c>
      <c r="C3" s="53">
        <v>524.5</v>
      </c>
      <c r="D3" s="28">
        <f t="shared" ref="D3:D7" si="1">C3/$C$8</f>
        <v>0.0913683477</v>
      </c>
      <c r="F3" s="85" t="s">
        <v>90</v>
      </c>
      <c r="G3" s="52">
        <v>22.0</v>
      </c>
      <c r="H3" s="53">
        <v>305.0</v>
      </c>
      <c r="I3" s="28">
        <f t="shared" ref="I3:I7" si="2">H3/$H$8</f>
        <v>0.06539451115</v>
      </c>
      <c r="K3" s="85" t="s">
        <v>90</v>
      </c>
      <c r="L3" s="52">
        <v>32.0</v>
      </c>
      <c r="M3" s="53">
        <v>439.5</v>
      </c>
      <c r="N3" s="28">
        <f t="shared" ref="N3:N7" si="3">M3/$M$8</f>
        <v>0.08922951985</v>
      </c>
    </row>
    <row r="4">
      <c r="A4" s="85" t="s">
        <v>91</v>
      </c>
      <c r="B4" s="52">
        <v>29.0</v>
      </c>
      <c r="C4" s="53">
        <v>303.5</v>
      </c>
      <c r="D4" s="28">
        <f t="shared" si="1"/>
        <v>0.05286995906</v>
      </c>
      <c r="F4" s="85" t="s">
        <v>91</v>
      </c>
      <c r="G4" s="52">
        <v>30.0</v>
      </c>
      <c r="H4" s="53">
        <v>333.5</v>
      </c>
      <c r="I4" s="28">
        <f t="shared" si="2"/>
        <v>0.0715051458</v>
      </c>
      <c r="K4" s="85" t="s">
        <v>91</v>
      </c>
      <c r="L4" s="52">
        <v>34.0</v>
      </c>
      <c r="M4" s="53">
        <v>344.5</v>
      </c>
      <c r="N4" s="28">
        <f t="shared" si="3"/>
        <v>0.06994213785</v>
      </c>
    </row>
    <row r="5">
      <c r="A5" s="85" t="s">
        <v>92</v>
      </c>
      <c r="B5" s="52">
        <v>199.0</v>
      </c>
      <c r="C5" s="53">
        <v>2673.0</v>
      </c>
      <c r="D5" s="28">
        <f t="shared" si="1"/>
        <v>0.4656388816</v>
      </c>
      <c r="F5" s="85" t="s">
        <v>92</v>
      </c>
      <c r="G5" s="52">
        <v>178.0</v>
      </c>
      <c r="H5" s="53">
        <v>2559.5</v>
      </c>
      <c r="I5" s="28">
        <f t="shared" si="2"/>
        <v>0.5487778731</v>
      </c>
      <c r="K5" s="85" t="s">
        <v>92</v>
      </c>
      <c r="L5" s="52">
        <v>169.0</v>
      </c>
      <c r="M5" s="53">
        <v>2331.0</v>
      </c>
      <c r="N5" s="28">
        <f t="shared" si="3"/>
        <v>0.4732514466</v>
      </c>
    </row>
    <row r="6">
      <c r="A6" s="85" t="s">
        <v>93</v>
      </c>
      <c r="B6" s="52">
        <v>68.0</v>
      </c>
      <c r="C6" s="53">
        <v>776.0</v>
      </c>
      <c r="D6" s="28">
        <f t="shared" si="1"/>
        <v>0.1351798624</v>
      </c>
      <c r="F6" s="85" t="s">
        <v>93</v>
      </c>
      <c r="G6" s="52">
        <v>49.0</v>
      </c>
      <c r="H6" s="53">
        <v>571.5</v>
      </c>
      <c r="I6" s="28">
        <f t="shared" si="2"/>
        <v>0.1225343053</v>
      </c>
      <c r="K6" s="85" t="s">
        <v>93</v>
      </c>
      <c r="L6" s="52">
        <v>55.0</v>
      </c>
      <c r="M6" s="53">
        <v>629.0</v>
      </c>
      <c r="N6" s="28">
        <f t="shared" si="3"/>
        <v>0.1277027713</v>
      </c>
    </row>
    <row r="7">
      <c r="A7" s="85" t="s">
        <v>94</v>
      </c>
      <c r="B7" s="52">
        <v>121.0</v>
      </c>
      <c r="C7" s="56">
        <v>1463.5</v>
      </c>
      <c r="D7" s="28">
        <f t="shared" si="1"/>
        <v>0.2549429492</v>
      </c>
      <c r="F7" s="85" t="s">
        <v>94</v>
      </c>
      <c r="G7" s="52">
        <v>72.0</v>
      </c>
      <c r="H7" s="56">
        <v>894.5</v>
      </c>
      <c r="I7" s="28">
        <f t="shared" si="2"/>
        <v>0.1917881647</v>
      </c>
      <c r="K7" s="85" t="s">
        <v>94</v>
      </c>
      <c r="L7" s="52">
        <v>91.0</v>
      </c>
      <c r="M7" s="56">
        <v>1181.5</v>
      </c>
      <c r="N7" s="28">
        <f t="shared" si="3"/>
        <v>0.2398741245</v>
      </c>
    </row>
    <row r="8">
      <c r="C8" s="86">
        <f>SUM(C3:C7)</f>
        <v>5740.5</v>
      </c>
      <c r="H8" s="86">
        <f>SUM(H2:H7)</f>
        <v>4664</v>
      </c>
      <c r="M8" s="86">
        <f>SUM(M3:M7)</f>
        <v>4925.5</v>
      </c>
      <c r="N8" s="28"/>
    </row>
  </sheetData>
  <mergeCells count="3">
    <mergeCell ref="B1:D1"/>
    <mergeCell ref="F1:I1"/>
    <mergeCell ref="K1:N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6" t="s">
        <v>76</v>
      </c>
    </row>
    <row r="2">
      <c r="B2" s="6" t="s">
        <v>95</v>
      </c>
    </row>
    <row r="3">
      <c r="A3" s="6" t="s">
        <v>96</v>
      </c>
      <c r="B3" s="6">
        <v>111.0</v>
      </c>
    </row>
    <row r="4">
      <c r="A4" s="6" t="s">
        <v>97</v>
      </c>
      <c r="B4" s="6">
        <v>55.0</v>
      </c>
    </row>
    <row r="5">
      <c r="A5" s="6" t="s">
        <v>98</v>
      </c>
      <c r="B5" s="6">
        <v>33.0</v>
      </c>
    </row>
    <row r="6">
      <c r="A6" s="6" t="s">
        <v>99</v>
      </c>
      <c r="B6" s="6">
        <v>23.0</v>
      </c>
    </row>
    <row r="7">
      <c r="A7" s="6" t="s">
        <v>100</v>
      </c>
      <c r="B7" s="6">
        <v>3.0</v>
      </c>
    </row>
    <row r="11">
      <c r="B11" s="6" t="s">
        <v>75</v>
      </c>
    </row>
    <row r="12">
      <c r="B12" s="6" t="s">
        <v>95</v>
      </c>
    </row>
    <row r="13">
      <c r="A13" s="6" t="s">
        <v>96</v>
      </c>
      <c r="B13" s="6">
        <v>99.0</v>
      </c>
    </row>
    <row r="14">
      <c r="A14" s="6" t="s">
        <v>97</v>
      </c>
      <c r="B14" s="6">
        <v>66.0</v>
      </c>
    </row>
    <row r="15">
      <c r="A15" s="6" t="s">
        <v>98</v>
      </c>
      <c r="B15" s="6">
        <v>42.0</v>
      </c>
    </row>
    <row r="16">
      <c r="A16" s="6" t="s">
        <v>99</v>
      </c>
      <c r="B16" s="6">
        <v>25.0</v>
      </c>
    </row>
    <row r="17">
      <c r="A17" s="6" t="s">
        <v>101</v>
      </c>
      <c r="B17" s="6">
        <v>1.0</v>
      </c>
    </row>
    <row r="21">
      <c r="B21" s="6" t="s">
        <v>74</v>
      </c>
    </row>
    <row r="22">
      <c r="B22" s="6" t="s">
        <v>95</v>
      </c>
    </row>
    <row r="23">
      <c r="A23" s="6" t="s">
        <v>96</v>
      </c>
      <c r="B23" s="6">
        <v>156.0</v>
      </c>
    </row>
    <row r="24">
      <c r="A24" s="6" t="s">
        <v>97</v>
      </c>
      <c r="B24" s="6">
        <v>86.0</v>
      </c>
    </row>
    <row r="25">
      <c r="A25" s="6" t="s">
        <v>98</v>
      </c>
      <c r="B25" s="6">
        <v>45.0</v>
      </c>
    </row>
    <row r="26">
      <c r="A26" s="6" t="s">
        <v>99</v>
      </c>
      <c r="B26" s="6">
        <v>39.0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3" width="18.63"/>
  </cols>
  <sheetData>
    <row r="1">
      <c r="A1" s="87" t="s">
        <v>102</v>
      </c>
      <c r="B1" s="87" t="s">
        <v>103</v>
      </c>
      <c r="C1" s="87" t="s">
        <v>104</v>
      </c>
      <c r="D1" s="87" t="s">
        <v>105</v>
      </c>
      <c r="E1" s="88" t="s">
        <v>106</v>
      </c>
      <c r="F1" s="88" t="s">
        <v>107</v>
      </c>
      <c r="G1" s="87" t="s">
        <v>108</v>
      </c>
      <c r="I1" s="6" t="s">
        <v>109</v>
      </c>
    </row>
    <row r="2">
      <c r="A2" s="6" t="s">
        <v>110</v>
      </c>
      <c r="B2" s="6">
        <v>1.0</v>
      </c>
      <c r="C2" s="6">
        <v>30.0</v>
      </c>
      <c r="D2" s="6">
        <v>20.0</v>
      </c>
      <c r="E2" s="89">
        <v>47.12</v>
      </c>
      <c r="F2" s="89">
        <v>942.39</v>
      </c>
      <c r="G2" s="90" t="str">
        <f t="shared" ref="G2:G63" si="1">IFS(C2&lt;=30,"Active",C2&lt;=364,"Cooling",TRUE,"Dormant")
</f>
        <v>Active</v>
      </c>
    </row>
    <row r="3">
      <c r="A3" s="6" t="s">
        <v>111</v>
      </c>
      <c r="B3" s="6">
        <v>2.0</v>
      </c>
      <c r="C3" s="6">
        <v>120.0</v>
      </c>
      <c r="D3" s="6">
        <v>45.0</v>
      </c>
      <c r="E3" s="89">
        <v>44.51</v>
      </c>
      <c r="F3" s="89">
        <v>2003.02</v>
      </c>
      <c r="G3" s="90" t="str">
        <f t="shared" si="1"/>
        <v>Cooling</v>
      </c>
      <c r="I3" s="6" t="s">
        <v>112</v>
      </c>
    </row>
    <row r="4">
      <c r="A4" s="6" t="s">
        <v>113</v>
      </c>
      <c r="B4" s="6">
        <v>3.0</v>
      </c>
      <c r="C4" s="6">
        <v>60.0</v>
      </c>
      <c r="D4" s="6">
        <v>159.0</v>
      </c>
      <c r="E4" s="89">
        <v>17.43</v>
      </c>
      <c r="F4" s="89">
        <v>2771.67</v>
      </c>
      <c r="G4" s="90" t="str">
        <f t="shared" si="1"/>
        <v>Cooling</v>
      </c>
      <c r="I4" s="91" t="s">
        <v>114</v>
      </c>
      <c r="J4" s="91" t="s">
        <v>115</v>
      </c>
    </row>
    <row r="5">
      <c r="A5" s="6" t="s">
        <v>116</v>
      </c>
      <c r="B5" s="6">
        <v>4.0</v>
      </c>
      <c r="C5" s="6">
        <v>19.0</v>
      </c>
      <c r="D5" s="6">
        <v>32.0</v>
      </c>
      <c r="E5" s="89">
        <v>36.28</v>
      </c>
      <c r="F5" s="89">
        <v>1160.84</v>
      </c>
      <c r="G5" s="90" t="str">
        <f t="shared" si="1"/>
        <v>Active</v>
      </c>
      <c r="I5" s="91" t="s">
        <v>117</v>
      </c>
      <c r="J5" s="91" t="s">
        <v>118</v>
      </c>
    </row>
    <row r="6">
      <c r="A6" s="6" t="s">
        <v>119</v>
      </c>
      <c r="B6" s="6">
        <v>5.0</v>
      </c>
      <c r="C6" s="6">
        <v>180.0</v>
      </c>
      <c r="D6" s="6">
        <v>46.0</v>
      </c>
      <c r="E6" s="89">
        <v>36.91</v>
      </c>
      <c r="F6" s="89">
        <v>1697.9</v>
      </c>
      <c r="G6" s="90" t="str">
        <f t="shared" si="1"/>
        <v>Cooling</v>
      </c>
      <c r="I6" s="91" t="s">
        <v>120</v>
      </c>
      <c r="J6" s="91" t="s">
        <v>121</v>
      </c>
    </row>
    <row r="7">
      <c r="A7" s="6" t="s">
        <v>122</v>
      </c>
      <c r="B7" s="6">
        <v>6.0</v>
      </c>
      <c r="C7" s="6">
        <v>5.0</v>
      </c>
      <c r="D7" s="6">
        <v>43.0</v>
      </c>
      <c r="E7" s="89">
        <v>80.49</v>
      </c>
      <c r="F7" s="89">
        <v>3460.94</v>
      </c>
      <c r="G7" s="90" t="str">
        <f t="shared" si="1"/>
        <v>Active</v>
      </c>
    </row>
    <row r="8">
      <c r="A8" s="6" t="s">
        <v>123</v>
      </c>
      <c r="B8" s="6">
        <v>7.0</v>
      </c>
      <c r="C8" s="6">
        <v>6.0</v>
      </c>
      <c r="D8" s="6">
        <v>46.0</v>
      </c>
      <c r="E8" s="89">
        <v>59.48</v>
      </c>
      <c r="F8" s="89">
        <v>2736.26</v>
      </c>
      <c r="G8" s="90" t="str">
        <f t="shared" si="1"/>
        <v>Active</v>
      </c>
      <c r="I8" s="6" t="s">
        <v>124</v>
      </c>
      <c r="J8" s="6" t="s">
        <v>125</v>
      </c>
    </row>
    <row r="9">
      <c r="A9" s="6" t="s">
        <v>126</v>
      </c>
      <c r="B9" s="6">
        <v>8.0</v>
      </c>
      <c r="C9" s="6">
        <v>365.0</v>
      </c>
      <c r="D9" s="6">
        <v>22.0</v>
      </c>
      <c r="E9" s="89">
        <v>64.56</v>
      </c>
      <c r="F9" s="89">
        <v>1420.41</v>
      </c>
      <c r="G9" s="90" t="str">
        <f t="shared" si="1"/>
        <v>Dormant</v>
      </c>
      <c r="J9" s="6" t="s">
        <v>127</v>
      </c>
    </row>
    <row r="10">
      <c r="A10" s="92" t="s">
        <v>128</v>
      </c>
      <c r="B10" s="6">
        <v>9.0</v>
      </c>
      <c r="C10" s="92">
        <v>30.0</v>
      </c>
      <c r="D10" s="92">
        <v>80.0</v>
      </c>
      <c r="E10" s="93">
        <v>47.88</v>
      </c>
      <c r="F10" s="93">
        <v>3830.69</v>
      </c>
      <c r="G10" s="90" t="str">
        <f t="shared" si="1"/>
        <v>Active</v>
      </c>
      <c r="I10" s="6"/>
      <c r="J10" s="6"/>
    </row>
    <row r="11">
      <c r="A11" s="92" t="s">
        <v>129</v>
      </c>
      <c r="B11" s="6">
        <v>10.0</v>
      </c>
      <c r="C11" s="92">
        <v>120.0</v>
      </c>
      <c r="D11" s="92">
        <v>35.0</v>
      </c>
      <c r="E11" s="93">
        <v>30.1</v>
      </c>
      <c r="F11" s="93">
        <v>1053.66</v>
      </c>
      <c r="G11" s="90" t="str">
        <f t="shared" si="1"/>
        <v>Cooling</v>
      </c>
      <c r="I11" s="6"/>
      <c r="J11" s="6"/>
    </row>
    <row r="12">
      <c r="A12" s="92" t="s">
        <v>130</v>
      </c>
      <c r="B12" s="6">
        <v>11.0</v>
      </c>
      <c r="C12" s="92">
        <v>1095.0</v>
      </c>
      <c r="D12" s="92">
        <v>36.0</v>
      </c>
      <c r="E12" s="93">
        <v>25.49</v>
      </c>
      <c r="F12" s="93">
        <v>917.75</v>
      </c>
      <c r="G12" s="90" t="str">
        <f t="shared" si="1"/>
        <v>Dormant</v>
      </c>
    </row>
    <row r="13">
      <c r="A13" s="92" t="s">
        <v>131</v>
      </c>
      <c r="B13" s="6">
        <v>12.0</v>
      </c>
      <c r="C13" s="92">
        <v>210.0</v>
      </c>
      <c r="D13" s="92">
        <v>30.0</v>
      </c>
      <c r="E13" s="93">
        <v>44.22</v>
      </c>
      <c r="F13" s="93">
        <v>1326.48</v>
      </c>
      <c r="G13" s="90" t="str">
        <f t="shared" si="1"/>
        <v>Cooling</v>
      </c>
    </row>
    <row r="14">
      <c r="A14" s="92" t="s">
        <v>132</v>
      </c>
      <c r="B14" s="6">
        <v>13.0</v>
      </c>
      <c r="C14" s="92">
        <v>730.0</v>
      </c>
      <c r="D14" s="92">
        <v>50.0</v>
      </c>
      <c r="E14" s="93">
        <v>24.66</v>
      </c>
      <c r="F14" s="93">
        <v>1232.92</v>
      </c>
      <c r="G14" s="90" t="str">
        <f t="shared" si="1"/>
        <v>Dormant</v>
      </c>
    </row>
    <row r="15">
      <c r="A15" s="92" t="s">
        <v>133</v>
      </c>
      <c r="B15" s="6">
        <v>14.0</v>
      </c>
      <c r="C15" s="92">
        <v>210.0</v>
      </c>
      <c r="D15" s="92">
        <v>23.0</v>
      </c>
      <c r="E15" s="93">
        <v>53.14</v>
      </c>
      <c r="F15" s="93">
        <v>1222.27</v>
      </c>
      <c r="G15" s="90" t="str">
        <f t="shared" si="1"/>
        <v>Cooling</v>
      </c>
    </row>
    <row r="16">
      <c r="A16" s="92" t="s">
        <v>134</v>
      </c>
      <c r="B16" s="6">
        <v>15.0</v>
      </c>
      <c r="C16" s="92">
        <v>365.0</v>
      </c>
      <c r="D16" s="92">
        <v>24.0</v>
      </c>
      <c r="E16" s="93">
        <v>86.86</v>
      </c>
      <c r="F16" s="93">
        <v>2084.56</v>
      </c>
      <c r="G16" s="90" t="str">
        <f t="shared" si="1"/>
        <v>Dormant</v>
      </c>
    </row>
    <row r="17">
      <c r="A17" s="6" t="s">
        <v>135</v>
      </c>
      <c r="B17" s="6">
        <v>16.0</v>
      </c>
      <c r="C17" s="6">
        <v>13.0</v>
      </c>
      <c r="D17" s="6">
        <v>31.0</v>
      </c>
      <c r="E17" s="89">
        <v>39.58</v>
      </c>
      <c r="F17" s="89">
        <v>1227.13</v>
      </c>
      <c r="G17" s="90" t="str">
        <f t="shared" si="1"/>
        <v>Active</v>
      </c>
    </row>
    <row r="18">
      <c r="A18" s="6" t="s">
        <v>136</v>
      </c>
      <c r="B18" s="6">
        <v>17.0</v>
      </c>
      <c r="C18" s="6">
        <v>30.0</v>
      </c>
      <c r="D18" s="6">
        <v>48.0</v>
      </c>
      <c r="E18" s="89">
        <v>19.88</v>
      </c>
      <c r="F18" s="89">
        <v>954.14</v>
      </c>
      <c r="G18" s="90" t="str">
        <f t="shared" si="1"/>
        <v>Active</v>
      </c>
    </row>
    <row r="19">
      <c r="A19" s="6" t="s">
        <v>137</v>
      </c>
      <c r="B19" s="6">
        <v>18.0</v>
      </c>
      <c r="C19" s="6">
        <v>30.0</v>
      </c>
      <c r="D19" s="6">
        <v>48.0</v>
      </c>
      <c r="E19" s="89">
        <v>46.59</v>
      </c>
      <c r="F19" s="89">
        <v>2236.17</v>
      </c>
      <c r="G19" s="90" t="str">
        <f t="shared" si="1"/>
        <v>Active</v>
      </c>
    </row>
    <row r="20">
      <c r="A20" s="6" t="s">
        <v>138</v>
      </c>
      <c r="B20" s="6">
        <v>19.0</v>
      </c>
      <c r="C20" s="6">
        <v>30.0</v>
      </c>
      <c r="D20" s="6">
        <v>26.0</v>
      </c>
      <c r="E20" s="89">
        <v>31.28</v>
      </c>
      <c r="F20" s="89">
        <v>813.19</v>
      </c>
      <c r="G20" s="90" t="str">
        <f t="shared" si="1"/>
        <v>Active</v>
      </c>
    </row>
    <row r="21">
      <c r="A21" s="6" t="s">
        <v>139</v>
      </c>
      <c r="B21" s="6">
        <v>20.0</v>
      </c>
      <c r="C21" s="6">
        <v>6.0</v>
      </c>
      <c r="D21" s="6">
        <v>122.0</v>
      </c>
      <c r="E21" s="89">
        <v>44.0</v>
      </c>
      <c r="F21" s="89">
        <v>5368.56</v>
      </c>
      <c r="G21" s="90" t="str">
        <f t="shared" si="1"/>
        <v>Active</v>
      </c>
    </row>
    <row r="22">
      <c r="A22" s="6" t="s">
        <v>140</v>
      </c>
      <c r="B22" s="6">
        <v>21.0</v>
      </c>
      <c r="C22" s="6">
        <v>2.0</v>
      </c>
      <c r="D22" s="6">
        <v>289.0</v>
      </c>
      <c r="E22" s="89">
        <v>18.93</v>
      </c>
      <c r="F22" s="89">
        <v>5469.56</v>
      </c>
      <c r="G22" s="90" t="str">
        <f t="shared" si="1"/>
        <v>Active</v>
      </c>
    </row>
    <row r="23">
      <c r="A23" s="6" t="s">
        <v>141</v>
      </c>
      <c r="B23" s="6">
        <v>22.0</v>
      </c>
      <c r="C23" s="6">
        <v>51.0</v>
      </c>
      <c r="D23" s="6">
        <v>123.0</v>
      </c>
      <c r="E23" s="89">
        <v>33.45</v>
      </c>
      <c r="F23" s="89">
        <v>3936.14</v>
      </c>
      <c r="G23" s="90" t="str">
        <f t="shared" si="1"/>
        <v>Cooling</v>
      </c>
    </row>
    <row r="24">
      <c r="A24" s="6" t="s">
        <v>142</v>
      </c>
      <c r="B24" s="6">
        <v>23.0</v>
      </c>
      <c r="C24" s="6">
        <v>1460.0</v>
      </c>
      <c r="D24" s="6">
        <v>39.0</v>
      </c>
      <c r="E24" s="89">
        <v>21.31</v>
      </c>
      <c r="F24" s="89">
        <v>830.94</v>
      </c>
      <c r="G24" s="90" t="str">
        <f t="shared" si="1"/>
        <v>Dormant</v>
      </c>
    </row>
    <row r="25">
      <c r="A25" s="6" t="s">
        <v>143</v>
      </c>
      <c r="B25" s="6">
        <v>24.0</v>
      </c>
      <c r="C25" s="6">
        <v>730.0</v>
      </c>
      <c r="D25" s="6">
        <v>21.0</v>
      </c>
      <c r="E25" s="89">
        <v>38.41</v>
      </c>
      <c r="F25" s="89">
        <v>806.55</v>
      </c>
      <c r="G25" s="90" t="str">
        <f t="shared" si="1"/>
        <v>Dormant</v>
      </c>
    </row>
    <row r="26">
      <c r="A26" s="6" t="s">
        <v>144</v>
      </c>
      <c r="B26" s="6">
        <v>25.0</v>
      </c>
      <c r="C26" s="6">
        <v>30.0</v>
      </c>
      <c r="D26" s="6">
        <v>49.0</v>
      </c>
      <c r="E26" s="89">
        <v>78.9</v>
      </c>
      <c r="F26" s="89">
        <v>3865.95</v>
      </c>
      <c r="G26" s="90" t="str">
        <f t="shared" si="1"/>
        <v>Active</v>
      </c>
    </row>
    <row r="27">
      <c r="A27" s="6" t="s">
        <v>145</v>
      </c>
      <c r="B27" s="6">
        <v>26.0</v>
      </c>
      <c r="C27" s="6">
        <v>240.0</v>
      </c>
      <c r="D27" s="6">
        <v>47.0</v>
      </c>
      <c r="E27" s="89">
        <v>34.94</v>
      </c>
      <c r="F27" s="89">
        <v>1642.2</v>
      </c>
      <c r="G27" s="90" t="str">
        <f t="shared" si="1"/>
        <v>Cooling</v>
      </c>
    </row>
    <row r="28">
      <c r="A28" s="6" t="s">
        <v>146</v>
      </c>
      <c r="B28" s="6">
        <v>27.0</v>
      </c>
      <c r="C28" s="6">
        <v>30.0</v>
      </c>
      <c r="D28" s="6">
        <v>248.0</v>
      </c>
      <c r="E28" s="89">
        <v>31.47</v>
      </c>
      <c r="F28" s="89">
        <v>7803.68</v>
      </c>
      <c r="G28" s="90" t="str">
        <f t="shared" si="1"/>
        <v>Active</v>
      </c>
    </row>
    <row r="29">
      <c r="A29" s="6" t="s">
        <v>147</v>
      </c>
      <c r="B29" s="6">
        <v>28.0</v>
      </c>
      <c r="C29" s="6">
        <v>30.0</v>
      </c>
      <c r="D29" s="6">
        <v>112.0</v>
      </c>
      <c r="E29" s="89">
        <v>49.63</v>
      </c>
      <c r="F29" s="89">
        <v>5558.78</v>
      </c>
      <c r="G29" s="90" t="str">
        <f t="shared" si="1"/>
        <v>Active</v>
      </c>
    </row>
    <row r="30">
      <c r="A30" s="6" t="s">
        <v>148</v>
      </c>
      <c r="B30" s="6">
        <v>29.0</v>
      </c>
      <c r="C30" s="6">
        <v>30.0</v>
      </c>
      <c r="D30" s="6">
        <v>52.0</v>
      </c>
      <c r="E30" s="89">
        <v>43.18</v>
      </c>
      <c r="F30" s="89">
        <v>2245.23</v>
      </c>
      <c r="G30" s="90" t="str">
        <f t="shared" si="1"/>
        <v>Active</v>
      </c>
    </row>
    <row r="31">
      <c r="A31" s="6" t="s">
        <v>149</v>
      </c>
      <c r="B31" s="6">
        <v>30.0</v>
      </c>
      <c r="C31" s="6">
        <v>12.0</v>
      </c>
      <c r="D31" s="6">
        <v>67.0</v>
      </c>
      <c r="E31" s="89">
        <v>76.24</v>
      </c>
      <c r="F31" s="89">
        <v>5107.83</v>
      </c>
      <c r="G31" s="90" t="str">
        <f t="shared" si="1"/>
        <v>Active</v>
      </c>
    </row>
    <row r="32">
      <c r="A32" s="6" t="s">
        <v>150</v>
      </c>
      <c r="B32" s="6">
        <v>31.0</v>
      </c>
      <c r="C32" s="6">
        <v>1.0</v>
      </c>
      <c r="D32" s="6">
        <v>93.0</v>
      </c>
      <c r="E32" s="89">
        <v>34.53</v>
      </c>
      <c r="F32" s="89">
        <v>3211.47</v>
      </c>
      <c r="G32" s="90" t="str">
        <f t="shared" si="1"/>
        <v>Active</v>
      </c>
    </row>
    <row r="33">
      <c r="A33" s="6" t="s">
        <v>151</v>
      </c>
      <c r="B33" s="6">
        <v>32.0</v>
      </c>
      <c r="C33" s="6">
        <v>3.0</v>
      </c>
      <c r="D33" s="6">
        <v>26.0</v>
      </c>
      <c r="E33" s="89">
        <v>64.86</v>
      </c>
      <c r="F33" s="89">
        <v>1686.31</v>
      </c>
      <c r="G33" s="90" t="str">
        <f t="shared" si="1"/>
        <v>Active</v>
      </c>
    </row>
    <row r="34">
      <c r="A34" s="6" t="s">
        <v>152</v>
      </c>
      <c r="B34" s="6">
        <v>33.0</v>
      </c>
      <c r="C34" s="6">
        <v>730.0</v>
      </c>
      <c r="D34" s="6">
        <v>21.0</v>
      </c>
      <c r="E34" s="89">
        <v>33.52</v>
      </c>
      <c r="F34" s="89">
        <v>703.87</v>
      </c>
      <c r="G34" s="90" t="str">
        <f t="shared" si="1"/>
        <v>Dormant</v>
      </c>
    </row>
    <row r="35">
      <c r="A35" s="6" t="s">
        <v>153</v>
      </c>
      <c r="B35" s="6">
        <v>34.0</v>
      </c>
      <c r="C35" s="6">
        <v>120.0</v>
      </c>
      <c r="D35" s="6">
        <v>47.0</v>
      </c>
      <c r="E35" s="89">
        <v>45.52</v>
      </c>
      <c r="F35" s="89">
        <v>2139.38</v>
      </c>
      <c r="G35" s="90" t="str">
        <f t="shared" si="1"/>
        <v>Cooling</v>
      </c>
    </row>
    <row r="36">
      <c r="A36" s="6" t="s">
        <v>154</v>
      </c>
      <c r="B36" s="6">
        <v>35.0</v>
      </c>
      <c r="C36" s="6">
        <v>2.0</v>
      </c>
      <c r="D36" s="6">
        <v>365.0</v>
      </c>
      <c r="E36" s="89">
        <v>47.65</v>
      </c>
      <c r="F36" s="89">
        <v>17391.94</v>
      </c>
      <c r="G36" s="90" t="str">
        <f t="shared" si="1"/>
        <v>Active</v>
      </c>
    </row>
    <row r="37">
      <c r="A37" s="6" t="s">
        <v>155</v>
      </c>
      <c r="B37" s="6">
        <v>36.0</v>
      </c>
      <c r="C37" s="6">
        <v>12.0</v>
      </c>
      <c r="D37" s="6">
        <v>27.0</v>
      </c>
      <c r="E37" s="89">
        <v>45.41</v>
      </c>
      <c r="F37" s="89">
        <v>1226.03</v>
      </c>
      <c r="G37" s="90" t="str">
        <f t="shared" si="1"/>
        <v>Active</v>
      </c>
    </row>
    <row r="38">
      <c r="A38" s="6" t="s">
        <v>156</v>
      </c>
      <c r="B38" s="6">
        <v>37.0</v>
      </c>
      <c r="C38" s="6">
        <v>2190.0</v>
      </c>
      <c r="D38" s="6">
        <v>151.0</v>
      </c>
      <c r="E38" s="89">
        <v>16.69</v>
      </c>
      <c r="F38" s="89">
        <v>2520.03</v>
      </c>
      <c r="G38" s="90" t="str">
        <f t="shared" si="1"/>
        <v>Dormant</v>
      </c>
    </row>
    <row r="39">
      <c r="A39" s="6" t="s">
        <v>157</v>
      </c>
      <c r="B39" s="6">
        <v>38.0</v>
      </c>
      <c r="C39" s="6">
        <v>17.0</v>
      </c>
      <c r="D39" s="6">
        <v>59.0</v>
      </c>
      <c r="E39" s="89">
        <v>69.11</v>
      </c>
      <c r="F39" s="89">
        <v>4077.43</v>
      </c>
      <c r="G39" s="90" t="str">
        <f t="shared" si="1"/>
        <v>Active</v>
      </c>
    </row>
    <row r="40">
      <c r="A40" s="6" t="s">
        <v>158</v>
      </c>
      <c r="B40" s="6">
        <v>39.0</v>
      </c>
      <c r="C40" s="6">
        <v>1095.0</v>
      </c>
      <c r="D40" s="6">
        <v>348.0</v>
      </c>
      <c r="E40" s="89">
        <v>17.41</v>
      </c>
      <c r="F40" s="89">
        <v>6057.49</v>
      </c>
      <c r="G40" s="90" t="str">
        <f t="shared" si="1"/>
        <v>Dormant</v>
      </c>
    </row>
    <row r="41">
      <c r="A41" s="6" t="s">
        <v>159</v>
      </c>
      <c r="B41" s="6">
        <v>40.0</v>
      </c>
      <c r="C41" s="6">
        <v>23.0</v>
      </c>
      <c r="D41" s="6">
        <v>668.0</v>
      </c>
      <c r="E41" s="89">
        <v>19.72</v>
      </c>
      <c r="F41" s="89">
        <v>13175.8</v>
      </c>
      <c r="G41" s="90" t="str">
        <f t="shared" si="1"/>
        <v>Active</v>
      </c>
    </row>
    <row r="42">
      <c r="A42" s="6" t="s">
        <v>160</v>
      </c>
      <c r="B42" s="6">
        <v>41.0</v>
      </c>
      <c r="C42" s="6">
        <v>30.0</v>
      </c>
      <c r="D42" s="6">
        <v>165.0</v>
      </c>
      <c r="E42" s="89">
        <v>30.23</v>
      </c>
      <c r="F42" s="89">
        <v>4987.48</v>
      </c>
      <c r="G42" s="90" t="str">
        <f t="shared" si="1"/>
        <v>Active</v>
      </c>
    </row>
    <row r="43">
      <c r="A43" s="6" t="s">
        <v>161</v>
      </c>
      <c r="B43" s="6">
        <v>42.0</v>
      </c>
      <c r="C43" s="6">
        <v>54.0</v>
      </c>
      <c r="D43" s="6">
        <v>82.0</v>
      </c>
      <c r="E43" s="89">
        <v>37.3</v>
      </c>
      <c r="F43" s="89">
        <v>3045.61</v>
      </c>
      <c r="G43" s="90" t="str">
        <f t="shared" si="1"/>
        <v>Cooling</v>
      </c>
    </row>
    <row r="44">
      <c r="A44" s="6" t="s">
        <v>162</v>
      </c>
      <c r="B44" s="6">
        <v>43.0</v>
      </c>
      <c r="C44" s="6">
        <v>730.0</v>
      </c>
      <c r="D44" s="6">
        <v>30.0</v>
      </c>
      <c r="E44" s="89">
        <v>90.25</v>
      </c>
      <c r="F44" s="89">
        <v>2707.44</v>
      </c>
      <c r="G44" s="90" t="str">
        <f t="shared" si="1"/>
        <v>Dormant</v>
      </c>
    </row>
    <row r="45">
      <c r="A45" s="6" t="s">
        <v>163</v>
      </c>
      <c r="B45" s="6">
        <v>44.0</v>
      </c>
      <c r="C45" s="6">
        <v>60.0</v>
      </c>
      <c r="D45" s="6">
        <v>361.0</v>
      </c>
      <c r="E45" s="89">
        <v>26.22</v>
      </c>
      <c r="F45" s="89">
        <v>9464.36</v>
      </c>
      <c r="G45" s="90" t="str">
        <f t="shared" si="1"/>
        <v>Cooling</v>
      </c>
    </row>
    <row r="46">
      <c r="A46" s="6" t="s">
        <v>164</v>
      </c>
      <c r="B46" s="6">
        <v>45.0</v>
      </c>
      <c r="C46" s="6">
        <v>90.0</v>
      </c>
      <c r="D46" s="6">
        <v>109.0</v>
      </c>
      <c r="E46" s="89">
        <v>24.37</v>
      </c>
      <c r="F46" s="89">
        <v>2656.39</v>
      </c>
      <c r="G46" s="90" t="str">
        <f t="shared" si="1"/>
        <v>Cooling</v>
      </c>
    </row>
    <row r="47">
      <c r="A47" s="6" t="s">
        <v>165</v>
      </c>
      <c r="B47" s="6">
        <v>46.0</v>
      </c>
      <c r="C47" s="6">
        <v>730.0</v>
      </c>
      <c r="D47" s="6">
        <v>38.0</v>
      </c>
      <c r="E47" s="89">
        <v>18.59</v>
      </c>
      <c r="F47" s="89">
        <v>706.38</v>
      </c>
      <c r="G47" s="90" t="str">
        <f t="shared" si="1"/>
        <v>Dormant</v>
      </c>
    </row>
    <row r="48">
      <c r="A48" s="6" t="s">
        <v>166</v>
      </c>
      <c r="B48" s="6">
        <v>47.0</v>
      </c>
      <c r="C48" s="6">
        <v>180.0</v>
      </c>
      <c r="D48" s="6">
        <v>76.0</v>
      </c>
      <c r="E48" s="89">
        <v>51.05</v>
      </c>
      <c r="F48" s="89">
        <v>3879.66</v>
      </c>
      <c r="G48" s="90" t="str">
        <f t="shared" si="1"/>
        <v>Cooling</v>
      </c>
    </row>
    <row r="49">
      <c r="A49" s="6" t="s">
        <v>167</v>
      </c>
      <c r="B49" s="6">
        <v>48.0</v>
      </c>
      <c r="C49" s="6">
        <v>30.0</v>
      </c>
      <c r="D49" s="6">
        <v>72.0</v>
      </c>
      <c r="E49" s="89">
        <v>41.2</v>
      </c>
      <c r="F49" s="89">
        <v>2966.34</v>
      </c>
      <c r="G49" s="90" t="str">
        <f t="shared" si="1"/>
        <v>Active</v>
      </c>
    </row>
    <row r="50">
      <c r="A50" s="6" t="s">
        <v>168</v>
      </c>
      <c r="B50" s="6">
        <v>49.0</v>
      </c>
      <c r="C50" s="6">
        <v>730.0</v>
      </c>
      <c r="D50" s="6">
        <v>61.0</v>
      </c>
      <c r="E50" s="89">
        <v>25.38</v>
      </c>
      <c r="F50" s="89">
        <v>1548.43</v>
      </c>
      <c r="G50" s="90" t="str">
        <f t="shared" si="1"/>
        <v>Dormant</v>
      </c>
    </row>
    <row r="51">
      <c r="A51" s="6" t="s">
        <v>169</v>
      </c>
      <c r="B51" s="6">
        <v>50.0</v>
      </c>
      <c r="C51" s="6">
        <v>1095.0</v>
      </c>
      <c r="D51" s="6">
        <v>37.0</v>
      </c>
      <c r="E51" s="89">
        <v>48.29</v>
      </c>
      <c r="F51" s="89">
        <v>1786.63</v>
      </c>
      <c r="G51" s="90" t="str">
        <f t="shared" si="1"/>
        <v>Dormant</v>
      </c>
    </row>
    <row r="52">
      <c r="A52" s="6" t="s">
        <v>170</v>
      </c>
      <c r="B52" s="6">
        <v>51.0</v>
      </c>
      <c r="C52" s="6">
        <v>730.0</v>
      </c>
      <c r="D52" s="6">
        <v>22.0</v>
      </c>
      <c r="E52" s="89">
        <v>23.86</v>
      </c>
      <c r="F52" s="89">
        <v>525.01</v>
      </c>
      <c r="G52" s="90" t="str">
        <f t="shared" si="1"/>
        <v>Dormant</v>
      </c>
    </row>
    <row r="53">
      <c r="A53" s="6" t="s">
        <v>171</v>
      </c>
      <c r="B53" s="6">
        <v>52.0</v>
      </c>
      <c r="C53" s="6">
        <v>24.0</v>
      </c>
      <c r="D53" s="6">
        <v>158.0</v>
      </c>
      <c r="E53" s="89">
        <v>35.37</v>
      </c>
      <c r="F53" s="89">
        <v>5588.7</v>
      </c>
      <c r="G53" s="90" t="str">
        <f t="shared" si="1"/>
        <v>Active</v>
      </c>
    </row>
    <row r="54">
      <c r="A54" s="6" t="s">
        <v>172</v>
      </c>
      <c r="B54" s="6">
        <v>53.0</v>
      </c>
      <c r="C54" s="6">
        <v>1.0</v>
      </c>
      <c r="D54" s="6">
        <v>196.0</v>
      </c>
      <c r="E54" s="89">
        <v>27.65</v>
      </c>
      <c r="F54" s="89">
        <v>5420.11</v>
      </c>
      <c r="G54" s="90" t="str">
        <f t="shared" si="1"/>
        <v>Active</v>
      </c>
    </row>
    <row r="55">
      <c r="A55" s="6" t="s">
        <v>173</v>
      </c>
      <c r="B55" s="6">
        <v>54.0</v>
      </c>
      <c r="C55" s="6">
        <v>730.0</v>
      </c>
      <c r="D55" s="6">
        <v>75.0</v>
      </c>
      <c r="E55" s="89">
        <v>34.41</v>
      </c>
      <c r="F55" s="89">
        <v>2580.92</v>
      </c>
      <c r="G55" s="90" t="str">
        <f t="shared" si="1"/>
        <v>Dormant</v>
      </c>
    </row>
    <row r="56">
      <c r="A56" s="6" t="s">
        <v>174</v>
      </c>
      <c r="B56" s="6">
        <v>55.0</v>
      </c>
      <c r="C56" s="6">
        <v>1.0</v>
      </c>
      <c r="D56" s="6">
        <v>93.0</v>
      </c>
      <c r="E56" s="89">
        <v>54.59</v>
      </c>
      <c r="F56" s="89">
        <v>5077.23</v>
      </c>
      <c r="G56" s="90" t="str">
        <f t="shared" si="1"/>
        <v>Active</v>
      </c>
    </row>
    <row r="57">
      <c r="A57" s="6" t="s">
        <v>175</v>
      </c>
      <c r="B57" s="6">
        <v>56.0</v>
      </c>
      <c r="C57" s="6">
        <v>730.0</v>
      </c>
      <c r="D57" s="6">
        <v>29.0</v>
      </c>
      <c r="E57" s="89">
        <v>31.09</v>
      </c>
      <c r="F57" s="89">
        <v>901.54</v>
      </c>
      <c r="G57" s="90" t="str">
        <f t="shared" si="1"/>
        <v>Dormant</v>
      </c>
    </row>
    <row r="58">
      <c r="A58" s="6" t="s">
        <v>176</v>
      </c>
      <c r="B58" s="6">
        <v>57.0</v>
      </c>
      <c r="C58" s="6">
        <v>60.0</v>
      </c>
      <c r="D58" s="6">
        <v>59.0</v>
      </c>
      <c r="E58" s="89">
        <v>75.47</v>
      </c>
      <c r="F58" s="89">
        <v>4452.86</v>
      </c>
      <c r="G58" s="90" t="str">
        <f t="shared" si="1"/>
        <v>Cooling</v>
      </c>
    </row>
    <row r="59">
      <c r="A59" s="6" t="s">
        <v>177</v>
      </c>
      <c r="B59" s="6">
        <v>58.0</v>
      </c>
      <c r="C59" s="6">
        <v>60.0</v>
      </c>
      <c r="D59" s="6">
        <v>33.0</v>
      </c>
      <c r="E59" s="89">
        <v>38.37</v>
      </c>
      <c r="F59" s="89">
        <v>1266.32</v>
      </c>
      <c r="G59" s="90" t="str">
        <f t="shared" si="1"/>
        <v>Cooling</v>
      </c>
    </row>
    <row r="60">
      <c r="A60" s="6" t="s">
        <v>178</v>
      </c>
      <c r="B60" s="6">
        <v>59.0</v>
      </c>
      <c r="C60" s="6">
        <v>90.0</v>
      </c>
      <c r="D60" s="6">
        <v>278.0</v>
      </c>
      <c r="E60" s="89">
        <v>17.51</v>
      </c>
      <c r="F60" s="89">
        <v>4868.46</v>
      </c>
      <c r="G60" s="90" t="str">
        <f t="shared" si="1"/>
        <v>Cooling</v>
      </c>
    </row>
    <row r="61">
      <c r="A61" s="6" t="s">
        <v>179</v>
      </c>
      <c r="B61" s="6">
        <v>60.0</v>
      </c>
      <c r="C61" s="6">
        <v>1460.0</v>
      </c>
      <c r="D61" s="6">
        <v>48.0</v>
      </c>
      <c r="E61" s="89">
        <v>15.03</v>
      </c>
      <c r="F61" s="89">
        <v>721.39</v>
      </c>
      <c r="G61" s="90" t="str">
        <f t="shared" si="1"/>
        <v>Dormant</v>
      </c>
    </row>
    <row r="62">
      <c r="A62" s="6" t="s">
        <v>180</v>
      </c>
      <c r="B62" s="6">
        <v>61.0</v>
      </c>
      <c r="C62" s="6">
        <v>120.0</v>
      </c>
      <c r="D62" s="6">
        <v>30.0</v>
      </c>
      <c r="E62" s="89">
        <v>34.01</v>
      </c>
      <c r="F62" s="89">
        <v>1020.4</v>
      </c>
      <c r="G62" s="90" t="str">
        <f t="shared" si="1"/>
        <v>Cooling</v>
      </c>
    </row>
    <row r="63">
      <c r="A63" s="6" t="s">
        <v>181</v>
      </c>
      <c r="B63" s="6">
        <v>62.0</v>
      </c>
      <c r="C63" s="6">
        <v>60.0</v>
      </c>
      <c r="D63" s="6">
        <v>110.0</v>
      </c>
      <c r="E63" s="89">
        <v>52.32</v>
      </c>
      <c r="F63" s="94">
        <v>5755.29</v>
      </c>
      <c r="G63" s="90" t="str">
        <f t="shared" si="1"/>
        <v>Cooling</v>
      </c>
    </row>
    <row r="64">
      <c r="E64" s="95"/>
      <c r="F64" s="95">
        <f>SUM(F2:F63)</f>
        <v>199844.51</v>
      </c>
    </row>
    <row r="65">
      <c r="E65" s="95"/>
      <c r="F65" s="95"/>
    </row>
    <row r="66">
      <c r="E66" s="95"/>
      <c r="F66" s="95"/>
    </row>
    <row r="67">
      <c r="E67" s="95"/>
      <c r="F67" s="95"/>
    </row>
    <row r="68">
      <c r="E68" s="95"/>
      <c r="F68" s="95"/>
    </row>
    <row r="69">
      <c r="E69" s="95"/>
      <c r="F69" s="95"/>
    </row>
    <row r="70">
      <c r="E70" s="95"/>
      <c r="F70" s="95"/>
    </row>
    <row r="71">
      <c r="E71" s="95"/>
      <c r="F71" s="95"/>
    </row>
    <row r="72">
      <c r="E72" s="95"/>
      <c r="F72" s="95"/>
    </row>
    <row r="73">
      <c r="E73" s="95"/>
      <c r="F73" s="95"/>
    </row>
    <row r="74">
      <c r="E74" s="95"/>
      <c r="F74" s="95"/>
    </row>
    <row r="75">
      <c r="E75" s="95"/>
      <c r="F75" s="95"/>
    </row>
    <row r="76">
      <c r="E76" s="95"/>
      <c r="F76" s="95"/>
    </row>
    <row r="77">
      <c r="E77" s="95"/>
      <c r="F77" s="95"/>
    </row>
    <row r="78">
      <c r="E78" s="95"/>
      <c r="F78" s="95"/>
    </row>
    <row r="79">
      <c r="E79" s="95"/>
      <c r="F79" s="95"/>
    </row>
    <row r="80">
      <c r="E80" s="95"/>
      <c r="F80" s="95"/>
    </row>
    <row r="81">
      <c r="E81" s="95"/>
      <c r="F81" s="95"/>
    </row>
    <row r="82">
      <c r="E82" s="95"/>
      <c r="F82" s="95"/>
    </row>
    <row r="83">
      <c r="E83" s="95"/>
      <c r="F83" s="95"/>
    </row>
    <row r="84">
      <c r="E84" s="95"/>
      <c r="F84" s="95"/>
    </row>
    <row r="85">
      <c r="E85" s="95"/>
      <c r="F85" s="95"/>
    </row>
    <row r="86">
      <c r="E86" s="95"/>
      <c r="F86" s="95"/>
    </row>
    <row r="87">
      <c r="E87" s="95"/>
      <c r="F87" s="95"/>
    </row>
    <row r="88">
      <c r="E88" s="95"/>
      <c r="F88" s="95"/>
    </row>
    <row r="89">
      <c r="E89" s="95"/>
      <c r="F89" s="95"/>
    </row>
    <row r="90">
      <c r="E90" s="95"/>
      <c r="F90" s="95"/>
    </row>
    <row r="91">
      <c r="E91" s="95"/>
      <c r="F91" s="95"/>
    </row>
    <row r="92">
      <c r="E92" s="95"/>
      <c r="F92" s="95"/>
    </row>
    <row r="93">
      <c r="E93" s="95"/>
      <c r="F93" s="95"/>
    </row>
    <row r="94">
      <c r="E94" s="95"/>
      <c r="F94" s="95"/>
    </row>
    <row r="95">
      <c r="E95" s="95"/>
      <c r="F95" s="95"/>
    </row>
    <row r="96">
      <c r="E96" s="95"/>
      <c r="F96" s="95"/>
    </row>
    <row r="97">
      <c r="E97" s="95"/>
      <c r="F97" s="95"/>
    </row>
    <row r="98">
      <c r="E98" s="95"/>
      <c r="F98" s="95"/>
    </row>
    <row r="99">
      <c r="E99" s="95"/>
      <c r="F99" s="95"/>
    </row>
    <row r="100">
      <c r="E100" s="95"/>
      <c r="F100" s="95"/>
    </row>
    <row r="101">
      <c r="E101" s="95"/>
      <c r="F101" s="95"/>
    </row>
    <row r="102">
      <c r="E102" s="95"/>
      <c r="F102" s="95"/>
    </row>
    <row r="103">
      <c r="E103" s="95"/>
      <c r="F103" s="95"/>
    </row>
    <row r="104">
      <c r="E104" s="95"/>
      <c r="F104" s="95"/>
    </row>
    <row r="105">
      <c r="E105" s="95"/>
      <c r="F105" s="95"/>
    </row>
    <row r="106">
      <c r="E106" s="95"/>
      <c r="F106" s="95"/>
    </row>
    <row r="107">
      <c r="E107" s="95"/>
      <c r="F107" s="95"/>
    </row>
    <row r="108">
      <c r="E108" s="95"/>
      <c r="F108" s="95"/>
    </row>
    <row r="109">
      <c r="E109" s="95"/>
      <c r="F109" s="95"/>
    </row>
    <row r="110">
      <c r="E110" s="95"/>
      <c r="F110" s="95"/>
    </row>
    <row r="111">
      <c r="E111" s="95"/>
      <c r="F111" s="95"/>
    </row>
    <row r="112">
      <c r="E112" s="95"/>
      <c r="F112" s="95"/>
    </row>
    <row r="113">
      <c r="E113" s="95"/>
      <c r="F113" s="95"/>
    </row>
    <row r="114">
      <c r="E114" s="95"/>
      <c r="F114" s="95"/>
    </row>
    <row r="115">
      <c r="E115" s="95"/>
      <c r="F115" s="95"/>
    </row>
    <row r="116">
      <c r="E116" s="95"/>
      <c r="F116" s="95"/>
    </row>
    <row r="117">
      <c r="E117" s="95"/>
      <c r="F117" s="95"/>
    </row>
    <row r="118">
      <c r="E118" s="95"/>
      <c r="F118" s="95"/>
    </row>
    <row r="119">
      <c r="E119" s="95"/>
      <c r="F119" s="95"/>
    </row>
    <row r="120">
      <c r="E120" s="95"/>
      <c r="F120" s="95"/>
    </row>
    <row r="121">
      <c r="E121" s="95"/>
      <c r="F121" s="95"/>
    </row>
    <row r="122">
      <c r="E122" s="95"/>
      <c r="F122" s="95"/>
    </row>
    <row r="123">
      <c r="E123" s="95"/>
      <c r="F123" s="95"/>
    </row>
    <row r="124">
      <c r="E124" s="95"/>
      <c r="F124" s="95"/>
    </row>
    <row r="125">
      <c r="E125" s="95"/>
      <c r="F125" s="95"/>
    </row>
    <row r="126">
      <c r="E126" s="95"/>
      <c r="F126" s="95"/>
    </row>
    <row r="127">
      <c r="E127" s="95"/>
      <c r="F127" s="95"/>
    </row>
    <row r="128">
      <c r="E128" s="95"/>
      <c r="F128" s="95"/>
    </row>
    <row r="129">
      <c r="E129" s="95"/>
      <c r="F129" s="95"/>
    </row>
    <row r="130">
      <c r="E130" s="95"/>
      <c r="F130" s="95"/>
    </row>
    <row r="131">
      <c r="E131" s="95"/>
      <c r="F131" s="95"/>
    </row>
    <row r="132">
      <c r="E132" s="95"/>
      <c r="F132" s="95"/>
    </row>
    <row r="133">
      <c r="E133" s="95"/>
      <c r="F133" s="95"/>
    </row>
    <row r="134">
      <c r="E134" s="95"/>
      <c r="F134" s="95"/>
    </row>
    <row r="135">
      <c r="E135" s="95"/>
      <c r="F135" s="95"/>
    </row>
    <row r="136">
      <c r="E136" s="95"/>
      <c r="F136" s="95"/>
    </row>
    <row r="137">
      <c r="E137" s="95"/>
      <c r="F137" s="95"/>
    </row>
    <row r="138">
      <c r="E138" s="95"/>
      <c r="F138" s="95"/>
    </row>
    <row r="139">
      <c r="E139" s="95"/>
      <c r="F139" s="95"/>
    </row>
    <row r="140">
      <c r="E140" s="95"/>
      <c r="F140" s="95"/>
    </row>
    <row r="141">
      <c r="E141" s="95"/>
      <c r="F141" s="95"/>
    </row>
    <row r="142">
      <c r="E142" s="95"/>
      <c r="F142" s="95"/>
    </row>
    <row r="143">
      <c r="E143" s="95"/>
      <c r="F143" s="95"/>
    </row>
    <row r="144">
      <c r="E144" s="95"/>
      <c r="F144" s="95"/>
    </row>
    <row r="145">
      <c r="E145" s="95"/>
      <c r="F145" s="95"/>
    </row>
    <row r="146">
      <c r="E146" s="95"/>
      <c r="F146" s="95"/>
    </row>
    <row r="147">
      <c r="E147" s="95"/>
      <c r="F147" s="95"/>
    </row>
    <row r="148">
      <c r="E148" s="95"/>
      <c r="F148" s="95"/>
    </row>
    <row r="149">
      <c r="E149" s="95"/>
      <c r="F149" s="95"/>
    </row>
    <row r="150">
      <c r="E150" s="95"/>
      <c r="F150" s="95"/>
    </row>
    <row r="151">
      <c r="E151" s="95"/>
      <c r="F151" s="95"/>
    </row>
    <row r="152">
      <c r="E152" s="95"/>
      <c r="F152" s="95"/>
    </row>
    <row r="153">
      <c r="E153" s="95"/>
      <c r="F153" s="95"/>
    </row>
    <row r="154">
      <c r="E154" s="95"/>
      <c r="F154" s="95"/>
    </row>
    <row r="155">
      <c r="E155" s="95"/>
      <c r="F155" s="95"/>
    </row>
    <row r="156">
      <c r="E156" s="95"/>
      <c r="F156" s="95"/>
    </row>
    <row r="157">
      <c r="E157" s="95"/>
      <c r="F157" s="95"/>
    </row>
    <row r="158">
      <c r="E158" s="95"/>
      <c r="F158" s="95"/>
    </row>
    <row r="159">
      <c r="E159" s="95"/>
      <c r="F159" s="95"/>
    </row>
    <row r="160">
      <c r="E160" s="95"/>
      <c r="F160" s="95"/>
    </row>
    <row r="161">
      <c r="E161" s="95"/>
      <c r="F161" s="95"/>
    </row>
    <row r="162">
      <c r="E162" s="95"/>
      <c r="F162" s="95"/>
    </row>
    <row r="163">
      <c r="E163" s="95"/>
      <c r="F163" s="95"/>
    </row>
    <row r="164">
      <c r="E164" s="95"/>
      <c r="F164" s="95"/>
    </row>
    <row r="165">
      <c r="E165" s="95"/>
      <c r="F165" s="95"/>
    </row>
    <row r="166">
      <c r="E166" s="95"/>
      <c r="F166" s="95"/>
    </row>
    <row r="167">
      <c r="E167" s="95"/>
      <c r="F167" s="95"/>
    </row>
    <row r="168">
      <c r="E168" s="95"/>
      <c r="F168" s="95"/>
    </row>
    <row r="169">
      <c r="E169" s="95"/>
      <c r="F169" s="95"/>
    </row>
    <row r="170">
      <c r="E170" s="95"/>
      <c r="F170" s="95"/>
    </row>
    <row r="171">
      <c r="E171" s="95"/>
      <c r="F171" s="95"/>
    </row>
    <row r="172">
      <c r="E172" s="95"/>
      <c r="F172" s="95"/>
    </row>
    <row r="173">
      <c r="E173" s="95"/>
      <c r="F173" s="95"/>
    </row>
    <row r="174">
      <c r="E174" s="95"/>
      <c r="F174" s="95"/>
    </row>
    <row r="175">
      <c r="E175" s="95"/>
      <c r="F175" s="95"/>
    </row>
    <row r="176">
      <c r="E176" s="95"/>
      <c r="F176" s="95"/>
    </row>
    <row r="177">
      <c r="E177" s="95"/>
      <c r="F177" s="95"/>
    </row>
    <row r="178">
      <c r="E178" s="95"/>
      <c r="F178" s="95"/>
    </row>
    <row r="179">
      <c r="E179" s="95"/>
      <c r="F179" s="95"/>
    </row>
    <row r="180">
      <c r="E180" s="95"/>
      <c r="F180" s="95"/>
    </row>
    <row r="181">
      <c r="E181" s="95"/>
      <c r="F181" s="95"/>
    </row>
    <row r="182">
      <c r="E182" s="95"/>
      <c r="F182" s="95"/>
    </row>
    <row r="183">
      <c r="E183" s="95"/>
      <c r="F183" s="95"/>
    </row>
    <row r="184">
      <c r="E184" s="95"/>
      <c r="F184" s="95"/>
    </row>
    <row r="185">
      <c r="E185" s="95"/>
      <c r="F185" s="95"/>
    </row>
    <row r="186">
      <c r="E186" s="95"/>
      <c r="F186" s="95"/>
    </row>
    <row r="187">
      <c r="E187" s="95"/>
      <c r="F187" s="95"/>
    </row>
    <row r="188">
      <c r="E188" s="95"/>
      <c r="F188" s="95"/>
    </row>
    <row r="189">
      <c r="E189" s="95"/>
      <c r="F189" s="95"/>
    </row>
    <row r="190">
      <c r="E190" s="95"/>
      <c r="F190" s="95"/>
    </row>
    <row r="191">
      <c r="E191" s="95"/>
      <c r="F191" s="95"/>
    </row>
    <row r="192">
      <c r="E192" s="95"/>
      <c r="F192" s="95"/>
    </row>
    <row r="193">
      <c r="E193" s="95"/>
      <c r="F193" s="95"/>
    </row>
    <row r="194">
      <c r="E194" s="95"/>
      <c r="F194" s="95"/>
    </row>
    <row r="195">
      <c r="E195" s="95"/>
      <c r="F195" s="95"/>
    </row>
    <row r="196">
      <c r="E196" s="95"/>
      <c r="F196" s="95"/>
    </row>
    <row r="197">
      <c r="E197" s="95"/>
      <c r="F197" s="95"/>
    </row>
    <row r="198">
      <c r="E198" s="95"/>
      <c r="F198" s="95"/>
    </row>
    <row r="199">
      <c r="E199" s="95"/>
      <c r="F199" s="95"/>
    </row>
    <row r="200">
      <c r="E200" s="95"/>
      <c r="F200" s="95"/>
    </row>
    <row r="201">
      <c r="E201" s="95"/>
      <c r="F201" s="95"/>
    </row>
    <row r="202">
      <c r="E202" s="95"/>
      <c r="F202" s="95"/>
    </row>
    <row r="203">
      <c r="E203" s="95"/>
      <c r="F203" s="95"/>
    </row>
    <row r="204">
      <c r="E204" s="95"/>
      <c r="F204" s="95"/>
    </row>
    <row r="205">
      <c r="E205" s="95"/>
      <c r="F205" s="95"/>
    </row>
    <row r="206">
      <c r="E206" s="95"/>
      <c r="F206" s="95"/>
    </row>
    <row r="207">
      <c r="E207" s="95"/>
      <c r="F207" s="95"/>
    </row>
    <row r="208">
      <c r="E208" s="95"/>
      <c r="F208" s="95"/>
    </row>
    <row r="209">
      <c r="E209" s="95"/>
      <c r="F209" s="95"/>
    </row>
    <row r="210">
      <c r="E210" s="95"/>
      <c r="F210" s="95"/>
    </row>
    <row r="211">
      <c r="E211" s="95"/>
      <c r="F211" s="95"/>
    </row>
    <row r="212">
      <c r="E212" s="95"/>
      <c r="F212" s="95"/>
    </row>
    <row r="213">
      <c r="E213" s="95"/>
      <c r="F213" s="95"/>
    </row>
    <row r="214">
      <c r="E214" s="95"/>
      <c r="F214" s="95"/>
    </row>
    <row r="215">
      <c r="E215" s="95"/>
      <c r="F215" s="95"/>
    </row>
    <row r="216">
      <c r="E216" s="95"/>
      <c r="F216" s="95"/>
    </row>
    <row r="217">
      <c r="E217" s="95"/>
      <c r="F217" s="95"/>
    </row>
    <row r="218">
      <c r="E218" s="95"/>
      <c r="F218" s="95"/>
    </row>
    <row r="219">
      <c r="E219" s="95"/>
      <c r="F219" s="95"/>
    </row>
    <row r="220">
      <c r="E220" s="95"/>
      <c r="F220" s="95"/>
    </row>
    <row r="221">
      <c r="E221" s="95"/>
      <c r="F221" s="95"/>
    </row>
    <row r="222">
      <c r="E222" s="95"/>
      <c r="F222" s="95"/>
    </row>
    <row r="223">
      <c r="E223" s="95"/>
      <c r="F223" s="95"/>
    </row>
    <row r="224">
      <c r="E224" s="95"/>
      <c r="F224" s="95"/>
    </row>
    <row r="225">
      <c r="E225" s="95"/>
      <c r="F225" s="95"/>
    </row>
    <row r="226">
      <c r="E226" s="95"/>
      <c r="F226" s="95"/>
    </row>
    <row r="227">
      <c r="E227" s="95"/>
      <c r="F227" s="95"/>
    </row>
    <row r="228">
      <c r="E228" s="95"/>
      <c r="F228" s="95"/>
    </row>
    <row r="229">
      <c r="E229" s="95"/>
      <c r="F229" s="95"/>
    </row>
    <row r="230">
      <c r="E230" s="95"/>
      <c r="F230" s="95"/>
    </row>
    <row r="231">
      <c r="E231" s="95"/>
      <c r="F231" s="95"/>
    </row>
    <row r="232">
      <c r="E232" s="95"/>
      <c r="F232" s="95"/>
    </row>
    <row r="233">
      <c r="E233" s="95"/>
      <c r="F233" s="95"/>
    </row>
    <row r="234">
      <c r="E234" s="95"/>
      <c r="F234" s="95"/>
    </row>
    <row r="235">
      <c r="E235" s="95"/>
      <c r="F235" s="95"/>
    </row>
    <row r="236">
      <c r="E236" s="95"/>
      <c r="F236" s="95"/>
    </row>
    <row r="237">
      <c r="E237" s="95"/>
      <c r="F237" s="95"/>
    </row>
    <row r="238">
      <c r="E238" s="95"/>
      <c r="F238" s="95"/>
    </row>
    <row r="239">
      <c r="E239" s="95"/>
      <c r="F239" s="95"/>
    </row>
    <row r="240">
      <c r="E240" s="95"/>
      <c r="F240" s="95"/>
    </row>
    <row r="241">
      <c r="E241" s="95"/>
      <c r="F241" s="95"/>
    </row>
    <row r="242">
      <c r="E242" s="95"/>
      <c r="F242" s="95"/>
    </row>
    <row r="243">
      <c r="E243" s="95"/>
      <c r="F243" s="95"/>
    </row>
    <row r="244">
      <c r="E244" s="95"/>
      <c r="F244" s="95"/>
    </row>
    <row r="245">
      <c r="E245" s="95"/>
      <c r="F245" s="95"/>
    </row>
    <row r="246">
      <c r="E246" s="95"/>
      <c r="F246" s="95"/>
    </row>
    <row r="247">
      <c r="E247" s="95"/>
      <c r="F247" s="95"/>
    </row>
    <row r="248">
      <c r="E248" s="95"/>
      <c r="F248" s="95"/>
    </row>
    <row r="249">
      <c r="E249" s="95"/>
      <c r="F249" s="95"/>
    </row>
    <row r="250">
      <c r="E250" s="95"/>
      <c r="F250" s="95"/>
    </row>
    <row r="251">
      <c r="E251" s="95"/>
      <c r="F251" s="95"/>
    </row>
    <row r="252">
      <c r="E252" s="95"/>
      <c r="F252" s="95"/>
    </row>
    <row r="253">
      <c r="E253" s="95"/>
      <c r="F253" s="95"/>
    </row>
    <row r="254">
      <c r="E254" s="95"/>
      <c r="F254" s="95"/>
    </row>
    <row r="255">
      <c r="E255" s="95"/>
      <c r="F255" s="95"/>
    </row>
    <row r="256">
      <c r="E256" s="95"/>
      <c r="F256" s="95"/>
    </row>
    <row r="257">
      <c r="E257" s="95"/>
      <c r="F257" s="95"/>
    </row>
    <row r="258">
      <c r="E258" s="95"/>
      <c r="F258" s="95"/>
    </row>
    <row r="259">
      <c r="E259" s="95"/>
      <c r="F259" s="95"/>
    </row>
    <row r="260">
      <c r="E260" s="95"/>
      <c r="F260" s="95"/>
    </row>
    <row r="261">
      <c r="E261" s="95"/>
      <c r="F261" s="95"/>
    </row>
    <row r="262">
      <c r="E262" s="95"/>
      <c r="F262" s="95"/>
    </row>
    <row r="263">
      <c r="E263" s="95"/>
      <c r="F263" s="95"/>
    </row>
    <row r="264">
      <c r="E264" s="95"/>
      <c r="F264" s="95"/>
    </row>
    <row r="265">
      <c r="E265" s="95"/>
      <c r="F265" s="95"/>
    </row>
    <row r="266">
      <c r="E266" s="95"/>
      <c r="F266" s="95"/>
    </row>
    <row r="267">
      <c r="E267" s="95"/>
      <c r="F267" s="95"/>
    </row>
    <row r="268">
      <c r="E268" s="95"/>
      <c r="F268" s="95"/>
    </row>
    <row r="269">
      <c r="E269" s="95"/>
      <c r="F269" s="95"/>
    </row>
    <row r="270">
      <c r="E270" s="95"/>
      <c r="F270" s="95"/>
    </row>
    <row r="271">
      <c r="E271" s="95"/>
      <c r="F271" s="95"/>
    </row>
    <row r="272">
      <c r="E272" s="95"/>
      <c r="F272" s="95"/>
    </row>
    <row r="273">
      <c r="E273" s="95"/>
      <c r="F273" s="95"/>
    </row>
    <row r="274">
      <c r="E274" s="95"/>
      <c r="F274" s="95"/>
    </row>
    <row r="275">
      <c r="E275" s="95"/>
      <c r="F275" s="95"/>
    </row>
    <row r="276">
      <c r="E276" s="95"/>
      <c r="F276" s="95"/>
    </row>
    <row r="277">
      <c r="E277" s="95"/>
      <c r="F277" s="95"/>
    </row>
    <row r="278">
      <c r="E278" s="95"/>
      <c r="F278" s="95"/>
    </row>
    <row r="279">
      <c r="E279" s="95"/>
      <c r="F279" s="95"/>
    </row>
    <row r="280">
      <c r="E280" s="95"/>
      <c r="F280" s="95"/>
    </row>
    <row r="281">
      <c r="E281" s="95"/>
      <c r="F281" s="95"/>
    </row>
    <row r="282">
      <c r="E282" s="95"/>
      <c r="F282" s="95"/>
    </row>
    <row r="283">
      <c r="E283" s="95"/>
      <c r="F283" s="95"/>
    </row>
    <row r="284">
      <c r="E284" s="95"/>
      <c r="F284" s="95"/>
    </row>
    <row r="285">
      <c r="E285" s="95"/>
      <c r="F285" s="95"/>
    </row>
    <row r="286">
      <c r="E286" s="95"/>
      <c r="F286" s="95"/>
    </row>
    <row r="287">
      <c r="E287" s="95"/>
      <c r="F287" s="95"/>
    </row>
    <row r="288">
      <c r="E288" s="95"/>
      <c r="F288" s="95"/>
    </row>
    <row r="289">
      <c r="E289" s="95"/>
      <c r="F289" s="95"/>
    </row>
    <row r="290">
      <c r="E290" s="95"/>
      <c r="F290" s="95"/>
    </row>
    <row r="291">
      <c r="E291" s="95"/>
      <c r="F291" s="95"/>
    </row>
    <row r="292">
      <c r="E292" s="95"/>
      <c r="F292" s="95"/>
    </row>
    <row r="293">
      <c r="E293" s="95"/>
      <c r="F293" s="95"/>
    </row>
    <row r="294">
      <c r="E294" s="95"/>
      <c r="F294" s="95"/>
    </row>
    <row r="295">
      <c r="E295" s="95"/>
      <c r="F295" s="95"/>
    </row>
    <row r="296">
      <c r="E296" s="95"/>
      <c r="F296" s="95"/>
    </row>
    <row r="297">
      <c r="E297" s="95"/>
      <c r="F297" s="95"/>
    </row>
    <row r="298">
      <c r="E298" s="95"/>
      <c r="F298" s="95"/>
    </row>
    <row r="299">
      <c r="E299" s="95"/>
      <c r="F299" s="95"/>
    </row>
    <row r="300">
      <c r="E300" s="95"/>
      <c r="F300" s="95"/>
    </row>
    <row r="301">
      <c r="E301" s="95"/>
      <c r="F301" s="95"/>
    </row>
    <row r="302">
      <c r="E302" s="95"/>
      <c r="F302" s="95"/>
    </row>
    <row r="303">
      <c r="E303" s="95"/>
      <c r="F303" s="95"/>
    </row>
    <row r="304">
      <c r="E304" s="95"/>
      <c r="F304" s="95"/>
    </row>
    <row r="305">
      <c r="E305" s="95"/>
      <c r="F305" s="95"/>
    </row>
    <row r="306">
      <c r="E306" s="95"/>
      <c r="F306" s="95"/>
    </row>
    <row r="307">
      <c r="E307" s="95"/>
      <c r="F307" s="95"/>
    </row>
    <row r="308">
      <c r="E308" s="95"/>
      <c r="F308" s="95"/>
    </row>
    <row r="309">
      <c r="E309" s="95"/>
      <c r="F309" s="95"/>
    </row>
    <row r="310">
      <c r="E310" s="95"/>
      <c r="F310" s="95"/>
    </row>
    <row r="311">
      <c r="E311" s="95"/>
      <c r="F311" s="95"/>
    </row>
    <row r="312">
      <c r="E312" s="95"/>
      <c r="F312" s="95"/>
    </row>
    <row r="313">
      <c r="E313" s="95"/>
      <c r="F313" s="95"/>
    </row>
    <row r="314">
      <c r="E314" s="95"/>
      <c r="F314" s="95"/>
    </row>
    <row r="315">
      <c r="E315" s="95"/>
      <c r="F315" s="95"/>
    </row>
    <row r="316">
      <c r="E316" s="95"/>
      <c r="F316" s="95"/>
    </row>
    <row r="317">
      <c r="E317" s="95"/>
      <c r="F317" s="95"/>
    </row>
    <row r="318">
      <c r="E318" s="95"/>
      <c r="F318" s="95"/>
    </row>
    <row r="319">
      <c r="E319" s="95"/>
      <c r="F319" s="95"/>
    </row>
    <row r="320">
      <c r="E320" s="95"/>
      <c r="F320" s="95"/>
    </row>
    <row r="321">
      <c r="E321" s="95"/>
      <c r="F321" s="95"/>
    </row>
    <row r="322">
      <c r="E322" s="95"/>
      <c r="F322" s="95"/>
    </row>
    <row r="323">
      <c r="E323" s="95"/>
      <c r="F323" s="95"/>
    </row>
    <row r="324">
      <c r="E324" s="95"/>
      <c r="F324" s="95"/>
    </row>
    <row r="325">
      <c r="E325" s="95"/>
      <c r="F325" s="95"/>
    </row>
    <row r="326">
      <c r="E326" s="95"/>
      <c r="F326" s="95"/>
    </row>
    <row r="327">
      <c r="E327" s="95"/>
      <c r="F327" s="95"/>
    </row>
    <row r="328">
      <c r="E328" s="95"/>
      <c r="F328" s="95"/>
    </row>
    <row r="329">
      <c r="E329" s="95"/>
      <c r="F329" s="95"/>
    </row>
    <row r="330">
      <c r="E330" s="95"/>
      <c r="F330" s="95"/>
    </row>
    <row r="331">
      <c r="E331" s="95"/>
      <c r="F331" s="95"/>
    </row>
    <row r="332">
      <c r="E332" s="95"/>
      <c r="F332" s="95"/>
    </row>
    <row r="333">
      <c r="E333" s="95"/>
      <c r="F333" s="95"/>
    </row>
    <row r="334">
      <c r="E334" s="95"/>
      <c r="F334" s="95"/>
    </row>
    <row r="335">
      <c r="E335" s="95"/>
      <c r="F335" s="95"/>
    </row>
    <row r="336">
      <c r="E336" s="95"/>
      <c r="F336" s="95"/>
    </row>
    <row r="337">
      <c r="E337" s="95"/>
      <c r="F337" s="95"/>
    </row>
    <row r="338">
      <c r="E338" s="95"/>
      <c r="F338" s="95"/>
    </row>
    <row r="339">
      <c r="E339" s="95"/>
      <c r="F339" s="95"/>
    </row>
    <row r="340">
      <c r="E340" s="95"/>
      <c r="F340" s="95"/>
    </row>
    <row r="341">
      <c r="E341" s="95"/>
      <c r="F341" s="95"/>
    </row>
    <row r="342">
      <c r="E342" s="95"/>
      <c r="F342" s="95"/>
    </row>
    <row r="343">
      <c r="E343" s="95"/>
      <c r="F343" s="95"/>
    </row>
    <row r="344">
      <c r="E344" s="95"/>
      <c r="F344" s="95"/>
    </row>
    <row r="345">
      <c r="E345" s="95"/>
      <c r="F345" s="95"/>
    </row>
    <row r="346">
      <c r="E346" s="95"/>
      <c r="F346" s="95"/>
    </row>
    <row r="347">
      <c r="E347" s="95"/>
      <c r="F347" s="95"/>
    </row>
    <row r="348">
      <c r="E348" s="95"/>
      <c r="F348" s="95"/>
    </row>
    <row r="349">
      <c r="E349" s="95"/>
      <c r="F349" s="95"/>
    </row>
    <row r="350">
      <c r="E350" s="95"/>
      <c r="F350" s="95"/>
    </row>
    <row r="351">
      <c r="E351" s="95"/>
      <c r="F351" s="95"/>
    </row>
    <row r="352">
      <c r="E352" s="95"/>
      <c r="F352" s="95"/>
    </row>
    <row r="353">
      <c r="E353" s="95"/>
      <c r="F353" s="95"/>
    </row>
    <row r="354">
      <c r="E354" s="95"/>
      <c r="F354" s="95"/>
    </row>
    <row r="355">
      <c r="E355" s="95"/>
      <c r="F355" s="95"/>
    </row>
    <row r="356">
      <c r="E356" s="95"/>
      <c r="F356" s="95"/>
    </row>
    <row r="357">
      <c r="E357" s="95"/>
      <c r="F357" s="95"/>
    </row>
    <row r="358">
      <c r="E358" s="95"/>
      <c r="F358" s="95"/>
    </row>
    <row r="359">
      <c r="E359" s="95"/>
      <c r="F359" s="95"/>
    </row>
    <row r="360">
      <c r="E360" s="95"/>
      <c r="F360" s="95"/>
    </row>
    <row r="361">
      <c r="E361" s="95"/>
      <c r="F361" s="95"/>
    </row>
    <row r="362">
      <c r="E362" s="95"/>
      <c r="F362" s="95"/>
    </row>
    <row r="363">
      <c r="E363" s="95"/>
      <c r="F363" s="95"/>
    </row>
    <row r="364">
      <c r="E364" s="95"/>
      <c r="F364" s="95"/>
    </row>
    <row r="365">
      <c r="E365" s="95"/>
      <c r="F365" s="95"/>
    </row>
    <row r="366">
      <c r="E366" s="95"/>
      <c r="F366" s="95"/>
    </row>
    <row r="367">
      <c r="E367" s="95"/>
      <c r="F367" s="95"/>
    </row>
    <row r="368">
      <c r="E368" s="95"/>
      <c r="F368" s="95"/>
    </row>
    <row r="369">
      <c r="E369" s="95"/>
      <c r="F369" s="95"/>
    </row>
    <row r="370">
      <c r="E370" s="95"/>
      <c r="F370" s="95"/>
    </row>
    <row r="371">
      <c r="E371" s="95"/>
      <c r="F371" s="95"/>
    </row>
    <row r="372">
      <c r="E372" s="95"/>
      <c r="F372" s="95"/>
    </row>
    <row r="373">
      <c r="E373" s="95"/>
      <c r="F373" s="95"/>
    </row>
    <row r="374">
      <c r="E374" s="95"/>
      <c r="F374" s="95"/>
    </row>
    <row r="375">
      <c r="E375" s="95"/>
      <c r="F375" s="95"/>
    </row>
    <row r="376">
      <c r="E376" s="95"/>
      <c r="F376" s="95"/>
    </row>
    <row r="377">
      <c r="E377" s="95"/>
      <c r="F377" s="95"/>
    </row>
    <row r="378">
      <c r="E378" s="95"/>
      <c r="F378" s="95"/>
    </row>
    <row r="379">
      <c r="E379" s="95"/>
      <c r="F379" s="95"/>
    </row>
    <row r="380">
      <c r="E380" s="95"/>
      <c r="F380" s="95"/>
    </row>
    <row r="381">
      <c r="E381" s="95"/>
      <c r="F381" s="95"/>
    </row>
    <row r="382">
      <c r="E382" s="95"/>
      <c r="F382" s="95"/>
    </row>
    <row r="383">
      <c r="E383" s="95"/>
      <c r="F383" s="95"/>
    </row>
    <row r="384">
      <c r="E384" s="95"/>
      <c r="F384" s="95"/>
    </row>
    <row r="385">
      <c r="E385" s="95"/>
      <c r="F385" s="95"/>
    </row>
    <row r="386">
      <c r="E386" s="95"/>
      <c r="F386" s="95"/>
    </row>
    <row r="387">
      <c r="E387" s="95"/>
      <c r="F387" s="95"/>
    </row>
    <row r="388">
      <c r="E388" s="95"/>
      <c r="F388" s="95"/>
    </row>
    <row r="389">
      <c r="E389" s="95"/>
      <c r="F389" s="95"/>
    </row>
    <row r="390">
      <c r="E390" s="95"/>
      <c r="F390" s="95"/>
    </row>
    <row r="391">
      <c r="E391" s="95"/>
      <c r="F391" s="95"/>
    </row>
    <row r="392">
      <c r="E392" s="95"/>
      <c r="F392" s="95"/>
    </row>
    <row r="393">
      <c r="E393" s="95"/>
      <c r="F393" s="95"/>
    </row>
    <row r="394">
      <c r="E394" s="95"/>
      <c r="F394" s="95"/>
    </row>
    <row r="395">
      <c r="E395" s="95"/>
      <c r="F395" s="95"/>
    </row>
    <row r="396">
      <c r="E396" s="95"/>
      <c r="F396" s="95"/>
    </row>
    <row r="397">
      <c r="E397" s="95"/>
      <c r="F397" s="95"/>
    </row>
    <row r="398">
      <c r="E398" s="95"/>
      <c r="F398" s="95"/>
    </row>
    <row r="399">
      <c r="E399" s="95"/>
      <c r="F399" s="95"/>
    </row>
    <row r="400">
      <c r="E400" s="95"/>
      <c r="F400" s="95"/>
    </row>
    <row r="401">
      <c r="E401" s="95"/>
      <c r="F401" s="95"/>
    </row>
    <row r="402">
      <c r="E402" s="95"/>
      <c r="F402" s="95"/>
    </row>
    <row r="403">
      <c r="E403" s="95"/>
      <c r="F403" s="95"/>
    </row>
    <row r="404">
      <c r="E404" s="95"/>
      <c r="F404" s="95"/>
    </row>
    <row r="405">
      <c r="E405" s="95"/>
      <c r="F405" s="95"/>
    </row>
    <row r="406">
      <c r="E406" s="95"/>
      <c r="F406" s="95"/>
    </row>
    <row r="407">
      <c r="E407" s="95"/>
      <c r="F407" s="95"/>
    </row>
    <row r="408">
      <c r="E408" s="95"/>
      <c r="F408" s="95"/>
    </row>
    <row r="409">
      <c r="E409" s="95"/>
      <c r="F409" s="95"/>
    </row>
    <row r="410">
      <c r="E410" s="95"/>
      <c r="F410" s="95"/>
    </row>
    <row r="411">
      <c r="E411" s="95"/>
      <c r="F411" s="95"/>
    </row>
    <row r="412">
      <c r="E412" s="95"/>
      <c r="F412" s="95"/>
    </row>
    <row r="413">
      <c r="E413" s="95"/>
      <c r="F413" s="95"/>
    </row>
    <row r="414">
      <c r="E414" s="95"/>
      <c r="F414" s="95"/>
    </row>
    <row r="415">
      <c r="E415" s="95"/>
      <c r="F415" s="95"/>
    </row>
    <row r="416">
      <c r="E416" s="95"/>
      <c r="F416" s="95"/>
    </row>
    <row r="417">
      <c r="E417" s="95"/>
      <c r="F417" s="95"/>
    </row>
    <row r="418">
      <c r="E418" s="95"/>
      <c r="F418" s="95"/>
    </row>
    <row r="419">
      <c r="E419" s="95"/>
      <c r="F419" s="95"/>
    </row>
    <row r="420">
      <c r="E420" s="95"/>
      <c r="F420" s="95"/>
    </row>
    <row r="421">
      <c r="E421" s="95"/>
      <c r="F421" s="95"/>
    </row>
    <row r="422">
      <c r="E422" s="95"/>
      <c r="F422" s="95"/>
    </row>
    <row r="423">
      <c r="E423" s="95"/>
      <c r="F423" s="95"/>
    </row>
    <row r="424">
      <c r="E424" s="95"/>
      <c r="F424" s="95"/>
    </row>
    <row r="425">
      <c r="E425" s="95"/>
      <c r="F425" s="95"/>
    </row>
    <row r="426">
      <c r="E426" s="95"/>
      <c r="F426" s="95"/>
    </row>
    <row r="427">
      <c r="E427" s="95"/>
      <c r="F427" s="95"/>
    </row>
    <row r="428">
      <c r="E428" s="95"/>
      <c r="F428" s="95"/>
    </row>
    <row r="429">
      <c r="E429" s="95"/>
      <c r="F429" s="95"/>
    </row>
    <row r="430">
      <c r="E430" s="95"/>
      <c r="F430" s="95"/>
    </row>
    <row r="431">
      <c r="E431" s="95"/>
      <c r="F431" s="95"/>
    </row>
    <row r="432">
      <c r="E432" s="95"/>
      <c r="F432" s="95"/>
    </row>
    <row r="433">
      <c r="E433" s="95"/>
      <c r="F433" s="95"/>
    </row>
    <row r="434">
      <c r="E434" s="95"/>
      <c r="F434" s="95"/>
    </row>
    <row r="435">
      <c r="E435" s="95"/>
      <c r="F435" s="95"/>
    </row>
    <row r="436">
      <c r="E436" s="95"/>
      <c r="F436" s="95"/>
    </row>
    <row r="437">
      <c r="E437" s="95"/>
      <c r="F437" s="95"/>
    </row>
    <row r="438">
      <c r="E438" s="95"/>
      <c r="F438" s="95"/>
    </row>
    <row r="439">
      <c r="E439" s="95"/>
      <c r="F439" s="95"/>
    </row>
    <row r="440">
      <c r="E440" s="95"/>
      <c r="F440" s="95"/>
    </row>
    <row r="441">
      <c r="E441" s="95"/>
      <c r="F441" s="95"/>
    </row>
    <row r="442">
      <c r="E442" s="95"/>
      <c r="F442" s="95"/>
    </row>
    <row r="443">
      <c r="E443" s="95"/>
      <c r="F443" s="95"/>
    </row>
    <row r="444">
      <c r="E444" s="95"/>
      <c r="F444" s="95"/>
    </row>
    <row r="445">
      <c r="E445" s="95"/>
      <c r="F445" s="95"/>
    </row>
    <row r="446">
      <c r="E446" s="95"/>
      <c r="F446" s="95"/>
    </row>
    <row r="447">
      <c r="E447" s="95"/>
      <c r="F447" s="95"/>
    </row>
    <row r="448">
      <c r="E448" s="95"/>
      <c r="F448" s="95"/>
    </row>
    <row r="449">
      <c r="E449" s="95"/>
      <c r="F449" s="95"/>
    </row>
    <row r="450">
      <c r="E450" s="95"/>
      <c r="F450" s="95"/>
    </row>
    <row r="451">
      <c r="E451" s="95"/>
      <c r="F451" s="95"/>
    </row>
    <row r="452">
      <c r="E452" s="95"/>
      <c r="F452" s="95"/>
    </row>
    <row r="453">
      <c r="E453" s="95"/>
      <c r="F453" s="95"/>
    </row>
    <row r="454">
      <c r="E454" s="95"/>
      <c r="F454" s="95"/>
    </row>
    <row r="455">
      <c r="E455" s="95"/>
      <c r="F455" s="95"/>
    </row>
    <row r="456">
      <c r="E456" s="95"/>
      <c r="F456" s="95"/>
    </row>
    <row r="457">
      <c r="E457" s="95"/>
      <c r="F457" s="95"/>
    </row>
    <row r="458">
      <c r="E458" s="95"/>
      <c r="F458" s="95"/>
    </row>
    <row r="459">
      <c r="E459" s="95"/>
      <c r="F459" s="95"/>
    </row>
    <row r="460">
      <c r="E460" s="95"/>
      <c r="F460" s="95"/>
    </row>
    <row r="461">
      <c r="E461" s="95"/>
      <c r="F461" s="95"/>
    </row>
    <row r="462">
      <c r="E462" s="95"/>
      <c r="F462" s="95"/>
    </row>
    <row r="463">
      <c r="E463" s="95"/>
      <c r="F463" s="95"/>
    </row>
    <row r="464">
      <c r="E464" s="95"/>
      <c r="F464" s="95"/>
    </row>
    <row r="465">
      <c r="E465" s="95"/>
      <c r="F465" s="95"/>
    </row>
    <row r="466">
      <c r="E466" s="95"/>
      <c r="F466" s="95"/>
    </row>
    <row r="467">
      <c r="E467" s="95"/>
      <c r="F467" s="95"/>
    </row>
    <row r="468">
      <c r="E468" s="95"/>
      <c r="F468" s="95"/>
    </row>
    <row r="469">
      <c r="E469" s="95"/>
      <c r="F469" s="95"/>
    </row>
    <row r="470">
      <c r="E470" s="95"/>
      <c r="F470" s="95"/>
    </row>
    <row r="471">
      <c r="E471" s="95"/>
      <c r="F471" s="95"/>
    </row>
    <row r="472">
      <c r="E472" s="95"/>
      <c r="F472" s="95"/>
    </row>
    <row r="473">
      <c r="E473" s="95"/>
      <c r="F473" s="95"/>
    </row>
    <row r="474">
      <c r="E474" s="95"/>
      <c r="F474" s="95"/>
    </row>
    <row r="475">
      <c r="E475" s="95"/>
      <c r="F475" s="95"/>
    </row>
    <row r="476">
      <c r="E476" s="95"/>
      <c r="F476" s="95"/>
    </row>
    <row r="477">
      <c r="E477" s="95"/>
      <c r="F477" s="95"/>
    </row>
    <row r="478">
      <c r="E478" s="95"/>
      <c r="F478" s="95"/>
    </row>
    <row r="479">
      <c r="E479" s="95"/>
      <c r="F479" s="95"/>
    </row>
    <row r="480">
      <c r="E480" s="95"/>
      <c r="F480" s="95"/>
    </row>
    <row r="481">
      <c r="E481" s="95"/>
      <c r="F481" s="95"/>
    </row>
    <row r="482">
      <c r="E482" s="95"/>
      <c r="F482" s="95"/>
    </row>
    <row r="483">
      <c r="E483" s="95"/>
      <c r="F483" s="95"/>
    </row>
    <row r="484">
      <c r="E484" s="95"/>
      <c r="F484" s="95"/>
    </row>
    <row r="485">
      <c r="E485" s="95"/>
      <c r="F485" s="95"/>
    </row>
    <row r="486">
      <c r="E486" s="95"/>
      <c r="F486" s="95"/>
    </row>
    <row r="487">
      <c r="E487" s="95"/>
      <c r="F487" s="95"/>
    </row>
    <row r="488">
      <c r="E488" s="95"/>
      <c r="F488" s="95"/>
    </row>
    <row r="489">
      <c r="E489" s="95"/>
      <c r="F489" s="95"/>
    </row>
    <row r="490">
      <c r="E490" s="95"/>
      <c r="F490" s="95"/>
    </row>
    <row r="491">
      <c r="E491" s="95"/>
      <c r="F491" s="95"/>
    </row>
    <row r="492">
      <c r="E492" s="95"/>
      <c r="F492" s="95"/>
    </row>
    <row r="493">
      <c r="E493" s="95"/>
      <c r="F493" s="95"/>
    </row>
    <row r="494">
      <c r="E494" s="95"/>
      <c r="F494" s="95"/>
    </row>
    <row r="495">
      <c r="E495" s="95"/>
      <c r="F495" s="95"/>
    </row>
    <row r="496">
      <c r="E496" s="95"/>
      <c r="F496" s="95"/>
    </row>
    <row r="497">
      <c r="E497" s="95"/>
      <c r="F497" s="95"/>
    </row>
    <row r="498">
      <c r="E498" s="95"/>
      <c r="F498" s="95"/>
    </row>
    <row r="499">
      <c r="E499" s="95"/>
      <c r="F499" s="95"/>
    </row>
    <row r="500">
      <c r="E500" s="95"/>
      <c r="F500" s="95"/>
    </row>
    <row r="501">
      <c r="E501" s="95"/>
      <c r="F501" s="95"/>
    </row>
    <row r="502">
      <c r="E502" s="95"/>
      <c r="F502" s="95"/>
    </row>
    <row r="503">
      <c r="E503" s="95"/>
      <c r="F503" s="95"/>
    </row>
    <row r="504">
      <c r="E504" s="95"/>
      <c r="F504" s="95"/>
    </row>
    <row r="505">
      <c r="E505" s="95"/>
      <c r="F505" s="95"/>
    </row>
    <row r="506">
      <c r="E506" s="95"/>
      <c r="F506" s="95"/>
    </row>
    <row r="507">
      <c r="E507" s="95"/>
      <c r="F507" s="95"/>
    </row>
    <row r="508">
      <c r="E508" s="95"/>
      <c r="F508" s="95"/>
    </row>
    <row r="509">
      <c r="E509" s="95"/>
      <c r="F509" s="95"/>
    </row>
    <row r="510">
      <c r="E510" s="95"/>
      <c r="F510" s="95"/>
    </row>
    <row r="511">
      <c r="E511" s="95"/>
      <c r="F511" s="95"/>
    </row>
    <row r="512">
      <c r="E512" s="95"/>
      <c r="F512" s="95"/>
    </row>
    <row r="513">
      <c r="E513" s="95"/>
      <c r="F513" s="95"/>
    </row>
    <row r="514">
      <c r="E514" s="95"/>
      <c r="F514" s="95"/>
    </row>
    <row r="515">
      <c r="E515" s="95"/>
      <c r="F515" s="95"/>
    </row>
    <row r="516">
      <c r="E516" s="95"/>
      <c r="F516" s="95"/>
    </row>
    <row r="517">
      <c r="E517" s="95"/>
      <c r="F517" s="95"/>
    </row>
    <row r="518">
      <c r="E518" s="95"/>
      <c r="F518" s="95"/>
    </row>
    <row r="519">
      <c r="E519" s="95"/>
      <c r="F519" s="95"/>
    </row>
    <row r="520">
      <c r="E520" s="95"/>
      <c r="F520" s="95"/>
    </row>
    <row r="521">
      <c r="E521" s="95"/>
      <c r="F521" s="95"/>
    </row>
    <row r="522">
      <c r="E522" s="95"/>
      <c r="F522" s="95"/>
    </row>
    <row r="523">
      <c r="E523" s="95"/>
      <c r="F523" s="95"/>
    </row>
    <row r="524">
      <c r="E524" s="95"/>
      <c r="F524" s="95"/>
    </row>
    <row r="525">
      <c r="E525" s="95"/>
      <c r="F525" s="95"/>
    </row>
    <row r="526">
      <c r="E526" s="95"/>
      <c r="F526" s="95"/>
    </row>
    <row r="527">
      <c r="E527" s="95"/>
      <c r="F527" s="95"/>
    </row>
    <row r="528">
      <c r="E528" s="95"/>
      <c r="F528" s="95"/>
    </row>
    <row r="529">
      <c r="E529" s="95"/>
      <c r="F529" s="95"/>
    </row>
    <row r="530">
      <c r="E530" s="95"/>
      <c r="F530" s="95"/>
    </row>
    <row r="531">
      <c r="E531" s="95"/>
      <c r="F531" s="95"/>
    </row>
    <row r="532">
      <c r="E532" s="95"/>
      <c r="F532" s="95"/>
    </row>
    <row r="533">
      <c r="E533" s="95"/>
      <c r="F533" s="95"/>
    </row>
    <row r="534">
      <c r="E534" s="95"/>
      <c r="F534" s="95"/>
    </row>
    <row r="535">
      <c r="E535" s="95"/>
      <c r="F535" s="95"/>
    </row>
    <row r="536">
      <c r="E536" s="95"/>
      <c r="F536" s="95"/>
    </row>
    <row r="537">
      <c r="E537" s="95"/>
      <c r="F537" s="95"/>
    </row>
    <row r="538">
      <c r="E538" s="95"/>
      <c r="F538" s="95"/>
    </row>
    <row r="539">
      <c r="E539" s="95"/>
      <c r="F539" s="95"/>
    </row>
    <row r="540">
      <c r="E540" s="95"/>
      <c r="F540" s="95"/>
    </row>
    <row r="541">
      <c r="E541" s="95"/>
      <c r="F541" s="95"/>
    </row>
    <row r="542">
      <c r="E542" s="95"/>
      <c r="F542" s="95"/>
    </row>
    <row r="543">
      <c r="E543" s="95"/>
      <c r="F543" s="95"/>
    </row>
    <row r="544">
      <c r="E544" s="95"/>
      <c r="F544" s="95"/>
    </row>
    <row r="545">
      <c r="E545" s="95"/>
      <c r="F545" s="95"/>
    </row>
    <row r="546">
      <c r="E546" s="95"/>
      <c r="F546" s="95"/>
    </row>
    <row r="547">
      <c r="E547" s="95"/>
      <c r="F547" s="95"/>
    </row>
    <row r="548">
      <c r="E548" s="95"/>
      <c r="F548" s="95"/>
    </row>
    <row r="549">
      <c r="E549" s="95"/>
      <c r="F549" s="95"/>
    </row>
    <row r="550">
      <c r="E550" s="95"/>
      <c r="F550" s="95"/>
    </row>
    <row r="551">
      <c r="E551" s="95"/>
      <c r="F551" s="95"/>
    </row>
    <row r="552">
      <c r="E552" s="95"/>
      <c r="F552" s="95"/>
    </row>
    <row r="553">
      <c r="E553" s="95"/>
      <c r="F553" s="95"/>
    </row>
    <row r="554">
      <c r="E554" s="95"/>
      <c r="F554" s="95"/>
    </row>
    <row r="555">
      <c r="E555" s="95"/>
      <c r="F555" s="95"/>
    </row>
    <row r="556">
      <c r="E556" s="95"/>
      <c r="F556" s="95"/>
    </row>
    <row r="557">
      <c r="E557" s="95"/>
      <c r="F557" s="95"/>
    </row>
    <row r="558">
      <c r="E558" s="95"/>
      <c r="F558" s="95"/>
    </row>
    <row r="559">
      <c r="E559" s="95"/>
      <c r="F559" s="95"/>
    </row>
    <row r="560">
      <c r="E560" s="95"/>
      <c r="F560" s="95"/>
    </row>
    <row r="561">
      <c r="E561" s="95"/>
      <c r="F561" s="95"/>
    </row>
    <row r="562">
      <c r="E562" s="95"/>
      <c r="F562" s="95"/>
    </row>
    <row r="563">
      <c r="E563" s="95"/>
      <c r="F563" s="95"/>
    </row>
    <row r="564">
      <c r="E564" s="95"/>
      <c r="F564" s="95"/>
    </row>
    <row r="565">
      <c r="E565" s="95"/>
      <c r="F565" s="95"/>
    </row>
    <row r="566">
      <c r="E566" s="95"/>
      <c r="F566" s="95"/>
    </row>
    <row r="567">
      <c r="E567" s="95"/>
      <c r="F567" s="95"/>
    </row>
    <row r="568">
      <c r="E568" s="95"/>
      <c r="F568" s="95"/>
    </row>
    <row r="569">
      <c r="E569" s="95"/>
      <c r="F569" s="95"/>
    </row>
    <row r="570">
      <c r="E570" s="95"/>
      <c r="F570" s="95"/>
    </row>
    <row r="571">
      <c r="E571" s="95"/>
      <c r="F571" s="95"/>
    </row>
    <row r="572">
      <c r="E572" s="95"/>
      <c r="F572" s="95"/>
    </row>
    <row r="573">
      <c r="E573" s="95"/>
      <c r="F573" s="95"/>
    </row>
    <row r="574">
      <c r="E574" s="95"/>
      <c r="F574" s="95"/>
    </row>
    <row r="575">
      <c r="E575" s="95"/>
      <c r="F575" s="95"/>
    </row>
    <row r="576">
      <c r="E576" s="95"/>
      <c r="F576" s="95"/>
    </row>
    <row r="577">
      <c r="E577" s="95"/>
      <c r="F577" s="95"/>
    </row>
    <row r="578">
      <c r="E578" s="95"/>
      <c r="F578" s="95"/>
    </row>
    <row r="579">
      <c r="E579" s="95"/>
      <c r="F579" s="95"/>
    </row>
    <row r="580">
      <c r="E580" s="95"/>
      <c r="F580" s="95"/>
    </row>
    <row r="581">
      <c r="E581" s="95"/>
      <c r="F581" s="95"/>
    </row>
    <row r="582">
      <c r="E582" s="95"/>
      <c r="F582" s="95"/>
    </row>
    <row r="583">
      <c r="E583" s="95"/>
      <c r="F583" s="95"/>
    </row>
    <row r="584">
      <c r="E584" s="95"/>
      <c r="F584" s="95"/>
    </row>
    <row r="585">
      <c r="E585" s="95"/>
      <c r="F585" s="95"/>
    </row>
    <row r="586">
      <c r="E586" s="95"/>
      <c r="F586" s="95"/>
    </row>
    <row r="587">
      <c r="E587" s="95"/>
      <c r="F587" s="95"/>
    </row>
    <row r="588">
      <c r="E588" s="95"/>
      <c r="F588" s="95"/>
    </row>
    <row r="589">
      <c r="E589" s="95"/>
      <c r="F589" s="95"/>
    </row>
    <row r="590">
      <c r="E590" s="95"/>
      <c r="F590" s="95"/>
    </row>
    <row r="591">
      <c r="E591" s="95"/>
      <c r="F591" s="95"/>
    </row>
    <row r="592">
      <c r="E592" s="95"/>
      <c r="F592" s="95"/>
    </row>
    <row r="593">
      <c r="E593" s="95"/>
      <c r="F593" s="95"/>
    </row>
    <row r="594">
      <c r="E594" s="95"/>
      <c r="F594" s="95"/>
    </row>
    <row r="595">
      <c r="E595" s="95"/>
      <c r="F595" s="95"/>
    </row>
    <row r="596">
      <c r="E596" s="95"/>
      <c r="F596" s="95"/>
    </row>
    <row r="597">
      <c r="E597" s="95"/>
      <c r="F597" s="95"/>
    </row>
    <row r="598">
      <c r="E598" s="95"/>
      <c r="F598" s="95"/>
    </row>
    <row r="599">
      <c r="E599" s="95"/>
      <c r="F599" s="95"/>
    </row>
    <row r="600">
      <c r="E600" s="95"/>
      <c r="F600" s="95"/>
    </row>
    <row r="601">
      <c r="E601" s="95"/>
      <c r="F601" s="95"/>
    </row>
    <row r="602">
      <c r="E602" s="95"/>
      <c r="F602" s="95"/>
    </row>
    <row r="603">
      <c r="E603" s="95"/>
      <c r="F603" s="95"/>
    </row>
    <row r="604">
      <c r="E604" s="95"/>
      <c r="F604" s="95"/>
    </row>
    <row r="605">
      <c r="E605" s="95"/>
      <c r="F605" s="95"/>
    </row>
    <row r="606">
      <c r="E606" s="95"/>
      <c r="F606" s="95"/>
    </row>
    <row r="607">
      <c r="E607" s="95"/>
      <c r="F607" s="95"/>
    </row>
    <row r="608">
      <c r="E608" s="95"/>
      <c r="F608" s="95"/>
    </row>
    <row r="609">
      <c r="E609" s="95"/>
      <c r="F609" s="95"/>
    </row>
    <row r="610">
      <c r="E610" s="95"/>
      <c r="F610" s="95"/>
    </row>
    <row r="611">
      <c r="E611" s="95"/>
      <c r="F611" s="95"/>
    </row>
    <row r="612">
      <c r="E612" s="95"/>
      <c r="F612" s="95"/>
    </row>
    <row r="613">
      <c r="E613" s="95"/>
      <c r="F613" s="95"/>
    </row>
    <row r="614">
      <c r="E614" s="95"/>
      <c r="F614" s="95"/>
    </row>
    <row r="615">
      <c r="E615" s="95"/>
      <c r="F615" s="95"/>
    </row>
    <row r="616">
      <c r="E616" s="95"/>
      <c r="F616" s="95"/>
    </row>
    <row r="617">
      <c r="E617" s="95"/>
      <c r="F617" s="95"/>
    </row>
    <row r="618">
      <c r="E618" s="95"/>
      <c r="F618" s="95"/>
    </row>
    <row r="619">
      <c r="E619" s="95"/>
      <c r="F619" s="95"/>
    </row>
    <row r="620">
      <c r="E620" s="95"/>
      <c r="F620" s="95"/>
    </row>
    <row r="621">
      <c r="E621" s="95"/>
      <c r="F621" s="95"/>
    </row>
    <row r="622">
      <c r="E622" s="95"/>
      <c r="F622" s="95"/>
    </row>
    <row r="623">
      <c r="E623" s="95"/>
      <c r="F623" s="95"/>
    </row>
    <row r="624">
      <c r="E624" s="95"/>
      <c r="F624" s="95"/>
    </row>
    <row r="625">
      <c r="E625" s="95"/>
      <c r="F625" s="95"/>
    </row>
    <row r="626">
      <c r="E626" s="95"/>
      <c r="F626" s="95"/>
    </row>
    <row r="627">
      <c r="E627" s="95"/>
      <c r="F627" s="95"/>
    </row>
    <row r="628">
      <c r="E628" s="95"/>
      <c r="F628" s="95"/>
    </row>
    <row r="629">
      <c r="E629" s="95"/>
      <c r="F629" s="95"/>
    </row>
    <row r="630">
      <c r="E630" s="95"/>
      <c r="F630" s="95"/>
    </row>
    <row r="631">
      <c r="E631" s="95"/>
      <c r="F631" s="95"/>
    </row>
    <row r="632">
      <c r="E632" s="95"/>
      <c r="F632" s="95"/>
    </row>
    <row r="633">
      <c r="E633" s="95"/>
      <c r="F633" s="95"/>
    </row>
    <row r="634">
      <c r="E634" s="95"/>
      <c r="F634" s="95"/>
    </row>
    <row r="635">
      <c r="E635" s="95"/>
      <c r="F635" s="95"/>
    </row>
    <row r="636">
      <c r="E636" s="95"/>
      <c r="F636" s="95"/>
    </row>
    <row r="637">
      <c r="E637" s="95"/>
      <c r="F637" s="95"/>
    </row>
    <row r="638">
      <c r="E638" s="95"/>
      <c r="F638" s="95"/>
    </row>
    <row r="639">
      <c r="E639" s="95"/>
      <c r="F639" s="95"/>
    </row>
    <row r="640">
      <c r="E640" s="95"/>
      <c r="F640" s="95"/>
    </row>
    <row r="641">
      <c r="E641" s="95"/>
      <c r="F641" s="95"/>
    </row>
    <row r="642">
      <c r="E642" s="95"/>
      <c r="F642" s="95"/>
    </row>
    <row r="643">
      <c r="E643" s="95"/>
      <c r="F643" s="95"/>
    </row>
    <row r="644">
      <c r="E644" s="95"/>
      <c r="F644" s="95"/>
    </row>
    <row r="645">
      <c r="E645" s="95"/>
      <c r="F645" s="95"/>
    </row>
    <row r="646">
      <c r="E646" s="95"/>
      <c r="F646" s="95"/>
    </row>
    <row r="647">
      <c r="E647" s="95"/>
      <c r="F647" s="95"/>
    </row>
    <row r="648">
      <c r="E648" s="95"/>
      <c r="F648" s="95"/>
    </row>
    <row r="649">
      <c r="E649" s="95"/>
      <c r="F649" s="95"/>
    </row>
    <row r="650">
      <c r="E650" s="95"/>
      <c r="F650" s="95"/>
    </row>
    <row r="651">
      <c r="E651" s="95"/>
      <c r="F651" s="95"/>
    </row>
    <row r="652">
      <c r="E652" s="95"/>
      <c r="F652" s="95"/>
    </row>
    <row r="653">
      <c r="E653" s="95"/>
      <c r="F653" s="95"/>
    </row>
    <row r="654">
      <c r="E654" s="95"/>
      <c r="F654" s="95"/>
    </row>
    <row r="655">
      <c r="E655" s="95"/>
      <c r="F655" s="95"/>
    </row>
    <row r="656">
      <c r="E656" s="95"/>
      <c r="F656" s="95"/>
    </row>
    <row r="657">
      <c r="E657" s="95"/>
      <c r="F657" s="95"/>
    </row>
    <row r="658">
      <c r="E658" s="95"/>
      <c r="F658" s="95"/>
    </row>
    <row r="659">
      <c r="E659" s="95"/>
      <c r="F659" s="95"/>
    </row>
    <row r="660">
      <c r="E660" s="95"/>
      <c r="F660" s="95"/>
    </row>
    <row r="661">
      <c r="E661" s="95"/>
      <c r="F661" s="95"/>
    </row>
    <row r="662">
      <c r="E662" s="95"/>
      <c r="F662" s="95"/>
    </row>
    <row r="663">
      <c r="E663" s="95"/>
      <c r="F663" s="95"/>
    </row>
    <row r="664">
      <c r="E664" s="95"/>
      <c r="F664" s="95"/>
    </row>
    <row r="665">
      <c r="E665" s="95"/>
      <c r="F665" s="95"/>
    </row>
    <row r="666">
      <c r="E666" s="95"/>
      <c r="F666" s="95"/>
    </row>
    <row r="667">
      <c r="E667" s="95"/>
      <c r="F667" s="95"/>
    </row>
    <row r="668">
      <c r="E668" s="95"/>
      <c r="F668" s="95"/>
    </row>
    <row r="669">
      <c r="E669" s="95"/>
      <c r="F669" s="95"/>
    </row>
    <row r="670">
      <c r="E670" s="95"/>
      <c r="F670" s="95"/>
    </row>
    <row r="671">
      <c r="E671" s="95"/>
      <c r="F671" s="95"/>
    </row>
    <row r="672">
      <c r="E672" s="95"/>
      <c r="F672" s="95"/>
    </row>
    <row r="673">
      <c r="E673" s="95"/>
      <c r="F673" s="95"/>
    </row>
    <row r="674">
      <c r="E674" s="95"/>
      <c r="F674" s="95"/>
    </row>
    <row r="675">
      <c r="E675" s="95"/>
      <c r="F675" s="95"/>
    </row>
    <row r="676">
      <c r="E676" s="95"/>
      <c r="F676" s="95"/>
    </row>
    <row r="677">
      <c r="E677" s="95"/>
      <c r="F677" s="95"/>
    </row>
    <row r="678">
      <c r="E678" s="95"/>
      <c r="F678" s="95"/>
    </row>
    <row r="679">
      <c r="E679" s="95"/>
      <c r="F679" s="95"/>
    </row>
    <row r="680">
      <c r="E680" s="95"/>
      <c r="F680" s="95"/>
    </row>
    <row r="681">
      <c r="E681" s="95"/>
      <c r="F681" s="95"/>
    </row>
    <row r="682">
      <c r="E682" s="95"/>
      <c r="F682" s="95"/>
    </row>
    <row r="683">
      <c r="E683" s="95"/>
      <c r="F683" s="95"/>
    </row>
    <row r="684">
      <c r="E684" s="95"/>
      <c r="F684" s="95"/>
    </row>
    <row r="685">
      <c r="E685" s="95"/>
      <c r="F685" s="95"/>
    </row>
    <row r="686">
      <c r="E686" s="95"/>
      <c r="F686" s="95"/>
    </row>
    <row r="687">
      <c r="E687" s="95"/>
      <c r="F687" s="95"/>
    </row>
    <row r="688">
      <c r="E688" s="95"/>
      <c r="F688" s="95"/>
    </row>
    <row r="689">
      <c r="E689" s="95"/>
      <c r="F689" s="95"/>
    </row>
    <row r="690">
      <c r="E690" s="95"/>
      <c r="F690" s="95"/>
    </row>
    <row r="691">
      <c r="E691" s="95"/>
      <c r="F691" s="95"/>
    </row>
    <row r="692">
      <c r="E692" s="95"/>
      <c r="F692" s="95"/>
    </row>
    <row r="693">
      <c r="E693" s="95"/>
      <c r="F693" s="95"/>
    </row>
    <row r="694">
      <c r="E694" s="95"/>
      <c r="F694" s="95"/>
    </row>
    <row r="695">
      <c r="E695" s="95"/>
      <c r="F695" s="95"/>
    </row>
    <row r="696">
      <c r="E696" s="95"/>
      <c r="F696" s="95"/>
    </row>
    <row r="697">
      <c r="E697" s="95"/>
      <c r="F697" s="95"/>
    </row>
    <row r="698">
      <c r="E698" s="95"/>
      <c r="F698" s="95"/>
    </row>
    <row r="699">
      <c r="E699" s="95"/>
      <c r="F699" s="95"/>
    </row>
    <row r="700">
      <c r="E700" s="95"/>
      <c r="F700" s="95"/>
    </row>
    <row r="701">
      <c r="E701" s="95"/>
      <c r="F701" s="95"/>
    </row>
    <row r="702">
      <c r="E702" s="95"/>
      <c r="F702" s="95"/>
    </row>
    <row r="703">
      <c r="E703" s="95"/>
      <c r="F703" s="95"/>
    </row>
    <row r="704">
      <c r="E704" s="95"/>
      <c r="F704" s="95"/>
    </row>
    <row r="705">
      <c r="E705" s="95"/>
      <c r="F705" s="95"/>
    </row>
    <row r="706">
      <c r="E706" s="95"/>
      <c r="F706" s="95"/>
    </row>
    <row r="707">
      <c r="E707" s="95"/>
      <c r="F707" s="95"/>
    </row>
    <row r="708">
      <c r="E708" s="95"/>
      <c r="F708" s="95"/>
    </row>
    <row r="709">
      <c r="E709" s="95"/>
      <c r="F709" s="95"/>
    </row>
    <row r="710">
      <c r="E710" s="95"/>
      <c r="F710" s="95"/>
    </row>
    <row r="711">
      <c r="E711" s="95"/>
      <c r="F711" s="95"/>
    </row>
    <row r="712">
      <c r="E712" s="95"/>
      <c r="F712" s="95"/>
    </row>
    <row r="713">
      <c r="E713" s="95"/>
      <c r="F713" s="95"/>
    </row>
    <row r="714">
      <c r="E714" s="95"/>
      <c r="F714" s="95"/>
    </row>
    <row r="715">
      <c r="E715" s="95"/>
      <c r="F715" s="95"/>
    </row>
    <row r="716">
      <c r="E716" s="95"/>
      <c r="F716" s="95"/>
    </row>
    <row r="717">
      <c r="E717" s="95"/>
      <c r="F717" s="95"/>
    </row>
    <row r="718">
      <c r="E718" s="95"/>
      <c r="F718" s="95"/>
    </row>
    <row r="719">
      <c r="E719" s="95"/>
      <c r="F719" s="95"/>
    </row>
    <row r="720">
      <c r="E720" s="95"/>
      <c r="F720" s="95"/>
    </row>
    <row r="721">
      <c r="E721" s="95"/>
      <c r="F721" s="95"/>
    </row>
    <row r="722">
      <c r="E722" s="95"/>
      <c r="F722" s="95"/>
    </row>
    <row r="723">
      <c r="E723" s="95"/>
      <c r="F723" s="95"/>
    </row>
    <row r="724">
      <c r="E724" s="95"/>
      <c r="F724" s="95"/>
    </row>
    <row r="725">
      <c r="E725" s="95"/>
      <c r="F725" s="95"/>
    </row>
    <row r="726">
      <c r="E726" s="95"/>
      <c r="F726" s="95"/>
    </row>
    <row r="727">
      <c r="E727" s="95"/>
      <c r="F727" s="95"/>
    </row>
    <row r="728">
      <c r="E728" s="95"/>
      <c r="F728" s="95"/>
    </row>
    <row r="729">
      <c r="E729" s="95"/>
      <c r="F729" s="95"/>
    </row>
    <row r="730">
      <c r="E730" s="95"/>
      <c r="F730" s="95"/>
    </row>
    <row r="731">
      <c r="E731" s="95"/>
      <c r="F731" s="95"/>
    </row>
    <row r="732">
      <c r="E732" s="95"/>
      <c r="F732" s="95"/>
    </row>
    <row r="733">
      <c r="E733" s="95"/>
      <c r="F733" s="95"/>
    </row>
    <row r="734">
      <c r="E734" s="95"/>
      <c r="F734" s="95"/>
    </row>
    <row r="735">
      <c r="E735" s="95"/>
      <c r="F735" s="95"/>
    </row>
    <row r="736">
      <c r="E736" s="95"/>
      <c r="F736" s="95"/>
    </row>
    <row r="737">
      <c r="E737" s="95"/>
      <c r="F737" s="95"/>
    </row>
    <row r="738">
      <c r="E738" s="95"/>
      <c r="F738" s="95"/>
    </row>
    <row r="739">
      <c r="E739" s="95"/>
      <c r="F739" s="95"/>
    </row>
    <row r="740">
      <c r="E740" s="95"/>
      <c r="F740" s="95"/>
    </row>
    <row r="741">
      <c r="E741" s="95"/>
      <c r="F741" s="95"/>
    </row>
    <row r="742">
      <c r="E742" s="95"/>
      <c r="F742" s="95"/>
    </row>
    <row r="743">
      <c r="E743" s="95"/>
      <c r="F743" s="95"/>
    </row>
    <row r="744">
      <c r="E744" s="95"/>
      <c r="F744" s="95"/>
    </row>
    <row r="745">
      <c r="E745" s="95"/>
      <c r="F745" s="95"/>
    </row>
    <row r="746">
      <c r="E746" s="95"/>
      <c r="F746" s="95"/>
    </row>
    <row r="747">
      <c r="E747" s="95"/>
      <c r="F747" s="95"/>
    </row>
    <row r="748">
      <c r="E748" s="95"/>
      <c r="F748" s="95"/>
    </row>
    <row r="749">
      <c r="E749" s="95"/>
      <c r="F749" s="95"/>
    </row>
    <row r="750">
      <c r="E750" s="95"/>
      <c r="F750" s="95"/>
    </row>
    <row r="751">
      <c r="E751" s="95"/>
      <c r="F751" s="95"/>
    </row>
    <row r="752">
      <c r="E752" s="95"/>
      <c r="F752" s="95"/>
    </row>
    <row r="753">
      <c r="E753" s="95"/>
      <c r="F753" s="95"/>
    </row>
    <row r="754">
      <c r="E754" s="95"/>
      <c r="F754" s="95"/>
    </row>
    <row r="755">
      <c r="E755" s="95"/>
      <c r="F755" s="95"/>
    </row>
    <row r="756">
      <c r="E756" s="95"/>
      <c r="F756" s="95"/>
    </row>
    <row r="757">
      <c r="E757" s="95"/>
      <c r="F757" s="95"/>
    </row>
    <row r="758">
      <c r="E758" s="95"/>
      <c r="F758" s="95"/>
    </row>
    <row r="759">
      <c r="E759" s="95"/>
      <c r="F759" s="95"/>
    </row>
    <row r="760">
      <c r="E760" s="95"/>
      <c r="F760" s="95"/>
    </row>
    <row r="761">
      <c r="E761" s="95"/>
      <c r="F761" s="95"/>
    </row>
    <row r="762">
      <c r="E762" s="95"/>
      <c r="F762" s="95"/>
    </row>
    <row r="763">
      <c r="E763" s="95"/>
      <c r="F763" s="95"/>
    </row>
    <row r="764">
      <c r="E764" s="95"/>
      <c r="F764" s="95"/>
    </row>
    <row r="765">
      <c r="E765" s="95"/>
      <c r="F765" s="95"/>
    </row>
    <row r="766">
      <c r="E766" s="95"/>
      <c r="F766" s="95"/>
    </row>
    <row r="767">
      <c r="E767" s="95"/>
      <c r="F767" s="95"/>
    </row>
    <row r="768">
      <c r="E768" s="95"/>
      <c r="F768" s="95"/>
    </row>
    <row r="769">
      <c r="E769" s="95"/>
      <c r="F769" s="95"/>
    </row>
    <row r="770">
      <c r="E770" s="95"/>
      <c r="F770" s="95"/>
    </row>
    <row r="771">
      <c r="E771" s="95"/>
      <c r="F771" s="95"/>
    </row>
    <row r="772">
      <c r="E772" s="95"/>
      <c r="F772" s="95"/>
    </row>
    <row r="773">
      <c r="E773" s="95"/>
      <c r="F773" s="95"/>
    </row>
    <row r="774">
      <c r="E774" s="95"/>
      <c r="F774" s="95"/>
    </row>
    <row r="775">
      <c r="E775" s="95"/>
      <c r="F775" s="95"/>
    </row>
    <row r="776">
      <c r="E776" s="95"/>
      <c r="F776" s="95"/>
    </row>
    <row r="777">
      <c r="E777" s="95"/>
      <c r="F777" s="95"/>
    </row>
    <row r="778">
      <c r="E778" s="95"/>
      <c r="F778" s="95"/>
    </row>
    <row r="779">
      <c r="E779" s="95"/>
      <c r="F779" s="95"/>
    </row>
    <row r="780">
      <c r="E780" s="95"/>
      <c r="F780" s="95"/>
    </row>
    <row r="781">
      <c r="E781" s="95"/>
      <c r="F781" s="95"/>
    </row>
    <row r="782">
      <c r="E782" s="95"/>
      <c r="F782" s="95"/>
    </row>
    <row r="783">
      <c r="E783" s="95"/>
      <c r="F783" s="95"/>
    </row>
    <row r="784">
      <c r="E784" s="95"/>
      <c r="F784" s="95"/>
    </row>
    <row r="785">
      <c r="E785" s="95"/>
      <c r="F785" s="95"/>
    </row>
    <row r="786">
      <c r="E786" s="95"/>
      <c r="F786" s="95"/>
    </row>
    <row r="787">
      <c r="E787" s="95"/>
      <c r="F787" s="95"/>
    </row>
    <row r="788">
      <c r="E788" s="95"/>
      <c r="F788" s="95"/>
    </row>
    <row r="789">
      <c r="E789" s="95"/>
      <c r="F789" s="95"/>
    </row>
    <row r="790">
      <c r="E790" s="95"/>
      <c r="F790" s="95"/>
    </row>
    <row r="791">
      <c r="E791" s="95"/>
      <c r="F791" s="95"/>
    </row>
    <row r="792">
      <c r="E792" s="95"/>
      <c r="F792" s="95"/>
    </row>
    <row r="793">
      <c r="E793" s="95"/>
      <c r="F793" s="95"/>
    </row>
    <row r="794">
      <c r="E794" s="95"/>
      <c r="F794" s="95"/>
    </row>
    <row r="795">
      <c r="E795" s="95"/>
      <c r="F795" s="95"/>
    </row>
    <row r="796">
      <c r="E796" s="95"/>
      <c r="F796" s="95"/>
    </row>
    <row r="797">
      <c r="E797" s="95"/>
      <c r="F797" s="95"/>
    </row>
    <row r="798">
      <c r="E798" s="95"/>
      <c r="F798" s="95"/>
    </row>
    <row r="799">
      <c r="E799" s="95"/>
      <c r="F799" s="95"/>
    </row>
    <row r="800">
      <c r="E800" s="95"/>
      <c r="F800" s="95"/>
    </row>
    <row r="801">
      <c r="E801" s="95"/>
      <c r="F801" s="95"/>
    </row>
    <row r="802">
      <c r="E802" s="95"/>
      <c r="F802" s="95"/>
    </row>
    <row r="803">
      <c r="E803" s="95"/>
      <c r="F803" s="95"/>
    </row>
    <row r="804">
      <c r="E804" s="95"/>
      <c r="F804" s="95"/>
    </row>
    <row r="805">
      <c r="E805" s="95"/>
      <c r="F805" s="95"/>
    </row>
    <row r="806">
      <c r="E806" s="95"/>
      <c r="F806" s="95"/>
    </row>
    <row r="807">
      <c r="E807" s="95"/>
      <c r="F807" s="95"/>
    </row>
    <row r="808">
      <c r="E808" s="95"/>
      <c r="F808" s="95"/>
    </row>
    <row r="809">
      <c r="E809" s="95"/>
      <c r="F809" s="95"/>
    </row>
    <row r="810">
      <c r="E810" s="95"/>
      <c r="F810" s="95"/>
    </row>
    <row r="811">
      <c r="E811" s="95"/>
      <c r="F811" s="95"/>
    </row>
    <row r="812">
      <c r="E812" s="95"/>
      <c r="F812" s="95"/>
    </row>
    <row r="813">
      <c r="E813" s="95"/>
      <c r="F813" s="95"/>
    </row>
    <row r="814">
      <c r="E814" s="95"/>
      <c r="F814" s="95"/>
    </row>
    <row r="815">
      <c r="E815" s="95"/>
      <c r="F815" s="95"/>
    </row>
    <row r="816">
      <c r="E816" s="95"/>
      <c r="F816" s="95"/>
    </row>
    <row r="817">
      <c r="E817" s="95"/>
      <c r="F817" s="95"/>
    </row>
    <row r="818">
      <c r="E818" s="95"/>
      <c r="F818" s="95"/>
    </row>
    <row r="819">
      <c r="E819" s="95"/>
      <c r="F819" s="95"/>
    </row>
    <row r="820">
      <c r="E820" s="95"/>
      <c r="F820" s="95"/>
    </row>
    <row r="821">
      <c r="E821" s="95"/>
      <c r="F821" s="95"/>
    </row>
    <row r="822">
      <c r="E822" s="95"/>
      <c r="F822" s="95"/>
    </row>
    <row r="823">
      <c r="E823" s="95"/>
      <c r="F823" s="95"/>
    </row>
    <row r="824">
      <c r="E824" s="95"/>
      <c r="F824" s="95"/>
    </row>
    <row r="825">
      <c r="E825" s="95"/>
      <c r="F825" s="95"/>
    </row>
    <row r="826">
      <c r="E826" s="95"/>
      <c r="F826" s="95"/>
    </row>
    <row r="827">
      <c r="E827" s="95"/>
      <c r="F827" s="95"/>
    </row>
    <row r="828">
      <c r="E828" s="95"/>
      <c r="F828" s="95"/>
    </row>
    <row r="829">
      <c r="E829" s="95"/>
      <c r="F829" s="95"/>
    </row>
    <row r="830">
      <c r="E830" s="95"/>
      <c r="F830" s="95"/>
    </row>
    <row r="831">
      <c r="E831" s="95"/>
      <c r="F831" s="95"/>
    </row>
    <row r="832">
      <c r="E832" s="95"/>
      <c r="F832" s="95"/>
    </row>
    <row r="833">
      <c r="E833" s="95"/>
      <c r="F833" s="95"/>
    </row>
    <row r="834">
      <c r="E834" s="95"/>
      <c r="F834" s="95"/>
    </row>
    <row r="835">
      <c r="E835" s="95"/>
      <c r="F835" s="95"/>
    </row>
    <row r="836">
      <c r="E836" s="95"/>
      <c r="F836" s="95"/>
    </row>
    <row r="837">
      <c r="E837" s="95"/>
      <c r="F837" s="95"/>
    </row>
    <row r="838">
      <c r="E838" s="95"/>
      <c r="F838" s="95"/>
    </row>
    <row r="839">
      <c r="E839" s="95"/>
      <c r="F839" s="95"/>
    </row>
    <row r="840">
      <c r="E840" s="95"/>
      <c r="F840" s="95"/>
    </row>
    <row r="841">
      <c r="E841" s="95"/>
      <c r="F841" s="95"/>
    </row>
    <row r="842">
      <c r="E842" s="95"/>
      <c r="F842" s="95"/>
    </row>
    <row r="843">
      <c r="E843" s="95"/>
      <c r="F843" s="95"/>
    </row>
    <row r="844">
      <c r="E844" s="95"/>
      <c r="F844" s="95"/>
    </row>
    <row r="845">
      <c r="E845" s="95"/>
      <c r="F845" s="95"/>
    </row>
    <row r="846">
      <c r="E846" s="95"/>
      <c r="F846" s="95"/>
    </row>
    <row r="847">
      <c r="E847" s="95"/>
      <c r="F847" s="95"/>
    </row>
    <row r="848">
      <c r="E848" s="95"/>
      <c r="F848" s="95"/>
    </row>
    <row r="849">
      <c r="E849" s="95"/>
      <c r="F849" s="95"/>
    </row>
    <row r="850">
      <c r="E850" s="95"/>
      <c r="F850" s="95"/>
    </row>
    <row r="851">
      <c r="E851" s="95"/>
      <c r="F851" s="95"/>
    </row>
    <row r="852">
      <c r="E852" s="95"/>
      <c r="F852" s="95"/>
    </row>
    <row r="853">
      <c r="E853" s="95"/>
      <c r="F853" s="95"/>
    </row>
    <row r="854">
      <c r="E854" s="95"/>
      <c r="F854" s="95"/>
    </row>
    <row r="855">
      <c r="E855" s="95"/>
      <c r="F855" s="95"/>
    </row>
    <row r="856">
      <c r="E856" s="95"/>
      <c r="F856" s="95"/>
    </row>
    <row r="857">
      <c r="E857" s="95"/>
      <c r="F857" s="95"/>
    </row>
    <row r="858">
      <c r="E858" s="95"/>
      <c r="F858" s="95"/>
    </row>
    <row r="859">
      <c r="E859" s="95"/>
      <c r="F859" s="95"/>
    </row>
    <row r="860">
      <c r="E860" s="95"/>
      <c r="F860" s="95"/>
    </row>
    <row r="861">
      <c r="E861" s="95"/>
      <c r="F861" s="95"/>
    </row>
    <row r="862">
      <c r="E862" s="95"/>
      <c r="F862" s="95"/>
    </row>
    <row r="863">
      <c r="E863" s="95"/>
      <c r="F863" s="95"/>
    </row>
    <row r="864">
      <c r="E864" s="95"/>
      <c r="F864" s="95"/>
    </row>
    <row r="865">
      <c r="E865" s="95"/>
      <c r="F865" s="95"/>
    </row>
    <row r="866">
      <c r="E866" s="95"/>
      <c r="F866" s="95"/>
    </row>
    <row r="867">
      <c r="E867" s="95"/>
      <c r="F867" s="95"/>
    </row>
    <row r="868">
      <c r="E868" s="95"/>
      <c r="F868" s="95"/>
    </row>
    <row r="869">
      <c r="E869" s="95"/>
      <c r="F869" s="95"/>
    </row>
    <row r="870">
      <c r="E870" s="95"/>
      <c r="F870" s="95"/>
    </row>
    <row r="871">
      <c r="E871" s="95"/>
      <c r="F871" s="95"/>
    </row>
    <row r="872">
      <c r="E872" s="95"/>
      <c r="F872" s="95"/>
    </row>
    <row r="873">
      <c r="E873" s="95"/>
      <c r="F873" s="95"/>
    </row>
    <row r="874">
      <c r="E874" s="95"/>
      <c r="F874" s="95"/>
    </row>
    <row r="875">
      <c r="E875" s="95"/>
      <c r="F875" s="95"/>
    </row>
    <row r="876">
      <c r="E876" s="95"/>
      <c r="F876" s="95"/>
    </row>
    <row r="877">
      <c r="E877" s="95"/>
      <c r="F877" s="95"/>
    </row>
    <row r="878">
      <c r="E878" s="95"/>
      <c r="F878" s="95"/>
    </row>
    <row r="879">
      <c r="E879" s="95"/>
      <c r="F879" s="95"/>
    </row>
    <row r="880">
      <c r="E880" s="95"/>
      <c r="F880" s="95"/>
    </row>
    <row r="881">
      <c r="E881" s="95"/>
      <c r="F881" s="95"/>
    </row>
    <row r="882">
      <c r="E882" s="95"/>
      <c r="F882" s="95"/>
    </row>
    <row r="883">
      <c r="E883" s="95"/>
      <c r="F883" s="95"/>
    </row>
    <row r="884">
      <c r="E884" s="95"/>
      <c r="F884" s="95"/>
    </row>
    <row r="885">
      <c r="E885" s="95"/>
      <c r="F885" s="95"/>
    </row>
    <row r="886">
      <c r="E886" s="95"/>
      <c r="F886" s="95"/>
    </row>
    <row r="887">
      <c r="E887" s="95"/>
      <c r="F887" s="95"/>
    </row>
    <row r="888">
      <c r="E888" s="95"/>
      <c r="F888" s="95"/>
    </row>
    <row r="889">
      <c r="E889" s="95"/>
      <c r="F889" s="95"/>
    </row>
    <row r="890">
      <c r="E890" s="95"/>
      <c r="F890" s="95"/>
    </row>
    <row r="891">
      <c r="E891" s="95"/>
      <c r="F891" s="95"/>
    </row>
    <row r="892">
      <c r="E892" s="95"/>
      <c r="F892" s="95"/>
    </row>
    <row r="893">
      <c r="E893" s="95"/>
      <c r="F893" s="95"/>
    </row>
    <row r="894">
      <c r="E894" s="95"/>
      <c r="F894" s="95"/>
    </row>
    <row r="895">
      <c r="E895" s="95"/>
      <c r="F895" s="95"/>
    </row>
    <row r="896">
      <c r="E896" s="95"/>
      <c r="F896" s="95"/>
    </row>
    <row r="897">
      <c r="E897" s="95"/>
      <c r="F897" s="95"/>
    </row>
    <row r="898">
      <c r="E898" s="95"/>
      <c r="F898" s="95"/>
    </row>
    <row r="899">
      <c r="E899" s="95"/>
      <c r="F899" s="95"/>
    </row>
    <row r="900">
      <c r="E900" s="95"/>
      <c r="F900" s="95"/>
    </row>
    <row r="901">
      <c r="E901" s="95"/>
      <c r="F901" s="95"/>
    </row>
    <row r="902">
      <c r="E902" s="95"/>
      <c r="F902" s="95"/>
    </row>
    <row r="903">
      <c r="E903" s="95"/>
      <c r="F903" s="95"/>
    </row>
    <row r="904">
      <c r="E904" s="95"/>
      <c r="F904" s="95"/>
    </row>
    <row r="905">
      <c r="E905" s="95"/>
      <c r="F905" s="95"/>
    </row>
    <row r="906">
      <c r="E906" s="95"/>
      <c r="F906" s="95"/>
    </row>
    <row r="907">
      <c r="E907" s="95"/>
      <c r="F907" s="95"/>
    </row>
    <row r="908">
      <c r="E908" s="95"/>
      <c r="F908" s="95"/>
    </row>
    <row r="909">
      <c r="E909" s="95"/>
      <c r="F909" s="95"/>
    </row>
    <row r="910">
      <c r="E910" s="95"/>
      <c r="F910" s="95"/>
    </row>
    <row r="911">
      <c r="E911" s="95"/>
      <c r="F911" s="95"/>
    </row>
    <row r="912">
      <c r="E912" s="95"/>
      <c r="F912" s="95"/>
    </row>
    <row r="913">
      <c r="E913" s="95"/>
      <c r="F913" s="95"/>
    </row>
    <row r="914">
      <c r="E914" s="95"/>
      <c r="F914" s="95"/>
    </row>
    <row r="915">
      <c r="E915" s="95"/>
      <c r="F915" s="95"/>
    </row>
    <row r="916">
      <c r="E916" s="95"/>
      <c r="F916" s="95"/>
    </row>
    <row r="917">
      <c r="E917" s="95"/>
      <c r="F917" s="95"/>
    </row>
    <row r="918">
      <c r="E918" s="95"/>
      <c r="F918" s="95"/>
    </row>
    <row r="919">
      <c r="E919" s="95"/>
      <c r="F919" s="95"/>
    </row>
    <row r="920">
      <c r="E920" s="95"/>
      <c r="F920" s="95"/>
    </row>
    <row r="921">
      <c r="E921" s="95"/>
      <c r="F921" s="95"/>
    </row>
    <row r="922">
      <c r="E922" s="95"/>
      <c r="F922" s="95"/>
    </row>
    <row r="923">
      <c r="E923" s="95"/>
      <c r="F923" s="95"/>
    </row>
    <row r="924">
      <c r="E924" s="95"/>
      <c r="F924" s="95"/>
    </row>
    <row r="925">
      <c r="E925" s="95"/>
      <c r="F925" s="95"/>
    </row>
    <row r="926">
      <c r="E926" s="95"/>
      <c r="F926" s="95"/>
    </row>
    <row r="927">
      <c r="E927" s="95"/>
      <c r="F927" s="95"/>
    </row>
    <row r="928">
      <c r="E928" s="95"/>
      <c r="F928" s="95"/>
    </row>
    <row r="929">
      <c r="E929" s="95"/>
      <c r="F929" s="95"/>
    </row>
    <row r="930">
      <c r="E930" s="95"/>
      <c r="F930" s="95"/>
    </row>
    <row r="931">
      <c r="E931" s="95"/>
      <c r="F931" s="95"/>
    </row>
    <row r="932">
      <c r="E932" s="95"/>
      <c r="F932" s="95"/>
    </row>
    <row r="933">
      <c r="E933" s="95"/>
      <c r="F933" s="95"/>
    </row>
    <row r="934">
      <c r="E934" s="95"/>
      <c r="F934" s="95"/>
    </row>
    <row r="935">
      <c r="E935" s="95"/>
      <c r="F935" s="95"/>
    </row>
    <row r="936">
      <c r="E936" s="95"/>
      <c r="F936" s="95"/>
    </row>
    <row r="937">
      <c r="E937" s="95"/>
      <c r="F937" s="95"/>
    </row>
    <row r="938">
      <c r="E938" s="95"/>
      <c r="F938" s="95"/>
    </row>
    <row r="939">
      <c r="E939" s="95"/>
      <c r="F939" s="95"/>
    </row>
    <row r="940">
      <c r="E940" s="95"/>
      <c r="F940" s="95"/>
    </row>
    <row r="941">
      <c r="E941" s="95"/>
      <c r="F941" s="95"/>
    </row>
    <row r="942">
      <c r="E942" s="95"/>
      <c r="F942" s="95"/>
    </row>
    <row r="943">
      <c r="E943" s="95"/>
      <c r="F943" s="95"/>
    </row>
    <row r="944">
      <c r="E944" s="95"/>
      <c r="F944" s="95"/>
    </row>
    <row r="945">
      <c r="E945" s="95"/>
      <c r="F945" s="95"/>
    </row>
    <row r="946">
      <c r="E946" s="95"/>
      <c r="F946" s="95"/>
    </row>
    <row r="947">
      <c r="E947" s="95"/>
      <c r="F947" s="95"/>
    </row>
    <row r="948">
      <c r="E948" s="95"/>
      <c r="F948" s="95"/>
    </row>
    <row r="949">
      <c r="E949" s="95"/>
      <c r="F949" s="95"/>
    </row>
    <row r="950">
      <c r="E950" s="95"/>
      <c r="F950" s="95"/>
    </row>
    <row r="951">
      <c r="E951" s="95"/>
      <c r="F951" s="95"/>
    </row>
    <row r="952">
      <c r="E952" s="95"/>
      <c r="F952" s="95"/>
    </row>
    <row r="953">
      <c r="E953" s="95"/>
      <c r="F953" s="95"/>
    </row>
    <row r="954">
      <c r="E954" s="95"/>
      <c r="F954" s="95"/>
    </row>
    <row r="955">
      <c r="E955" s="95"/>
      <c r="F955" s="95"/>
    </row>
    <row r="956">
      <c r="E956" s="95"/>
      <c r="F956" s="95"/>
    </row>
    <row r="957">
      <c r="E957" s="95"/>
      <c r="F957" s="95"/>
    </row>
    <row r="958">
      <c r="E958" s="95"/>
      <c r="F958" s="95"/>
    </row>
    <row r="959">
      <c r="E959" s="95"/>
      <c r="F959" s="95"/>
    </row>
    <row r="960">
      <c r="E960" s="95"/>
      <c r="F960" s="95"/>
    </row>
    <row r="961">
      <c r="E961" s="95"/>
      <c r="F961" s="95"/>
    </row>
    <row r="962">
      <c r="E962" s="95"/>
      <c r="F962" s="95"/>
    </row>
    <row r="963">
      <c r="E963" s="95"/>
      <c r="F963" s="95"/>
    </row>
    <row r="964">
      <c r="E964" s="95"/>
      <c r="F964" s="95"/>
    </row>
    <row r="965">
      <c r="E965" s="95"/>
      <c r="F965" s="95"/>
    </row>
    <row r="966">
      <c r="E966" s="95"/>
      <c r="F966" s="95"/>
    </row>
    <row r="967">
      <c r="E967" s="95"/>
      <c r="F967" s="95"/>
    </row>
    <row r="968">
      <c r="E968" s="95"/>
      <c r="F968" s="95"/>
    </row>
    <row r="969">
      <c r="E969" s="95"/>
      <c r="F969" s="95"/>
    </row>
    <row r="970">
      <c r="E970" s="95"/>
      <c r="F970" s="95"/>
    </row>
    <row r="971">
      <c r="E971" s="95"/>
      <c r="F971" s="95"/>
    </row>
    <row r="972">
      <c r="E972" s="95"/>
      <c r="F972" s="95"/>
    </row>
    <row r="973">
      <c r="E973" s="95"/>
      <c r="F973" s="95"/>
    </row>
    <row r="974">
      <c r="E974" s="95"/>
      <c r="F974" s="95"/>
    </row>
    <row r="975">
      <c r="E975" s="95"/>
      <c r="F975" s="95"/>
    </row>
    <row r="976">
      <c r="E976" s="95"/>
      <c r="F976" s="95"/>
    </row>
    <row r="977">
      <c r="E977" s="95"/>
      <c r="F977" s="95"/>
    </row>
    <row r="978">
      <c r="E978" s="95"/>
      <c r="F978" s="95"/>
    </row>
    <row r="979">
      <c r="E979" s="95"/>
      <c r="F979" s="95"/>
    </row>
    <row r="980">
      <c r="E980" s="95"/>
      <c r="F980" s="95"/>
    </row>
    <row r="981">
      <c r="E981" s="95"/>
      <c r="F981" s="95"/>
    </row>
    <row r="982">
      <c r="E982" s="95"/>
      <c r="F982" s="95"/>
    </row>
    <row r="983">
      <c r="E983" s="95"/>
      <c r="F983" s="95"/>
    </row>
    <row r="984">
      <c r="E984" s="95"/>
      <c r="F984" s="95"/>
    </row>
    <row r="985">
      <c r="E985" s="95"/>
      <c r="F985" s="95"/>
    </row>
    <row r="986">
      <c r="E986" s="95"/>
      <c r="F986" s="95"/>
    </row>
    <row r="987">
      <c r="E987" s="95"/>
      <c r="F987" s="95"/>
    </row>
    <row r="988">
      <c r="E988" s="95"/>
      <c r="F988" s="95"/>
    </row>
    <row r="989">
      <c r="E989" s="95"/>
      <c r="F989" s="95"/>
    </row>
    <row r="990">
      <c r="E990" s="95"/>
      <c r="F990" s="95"/>
    </row>
    <row r="991">
      <c r="E991" s="95"/>
      <c r="F991" s="95"/>
    </row>
    <row r="992">
      <c r="E992" s="95"/>
      <c r="F992" s="95"/>
    </row>
    <row r="993">
      <c r="E993" s="95"/>
      <c r="F993" s="95"/>
    </row>
    <row r="994">
      <c r="E994" s="95"/>
      <c r="F994" s="95"/>
    </row>
    <row r="995">
      <c r="E995" s="95"/>
      <c r="F995" s="95"/>
    </row>
  </sheetData>
  <autoFilter ref="$A$1:$G$64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